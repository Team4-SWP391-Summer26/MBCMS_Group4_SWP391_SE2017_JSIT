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3_FPT\4_Su26\3_SWT\"/>
    </mc:Choice>
  </mc:AlternateContent>
  <xr:revisionPtr revIDLastSave="0" documentId="13_ncr:1_{9723F4F5-4541-4319-B92C-E1FF6D4FF7E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Cover" sheetId="1" r:id="rId1"/>
    <sheet name="Test Cases" sheetId="2" r:id="rId2"/>
    <sheet name="Decision Table" sheetId="3" r:id="rId3"/>
    <sheet name="Test Statistics" sheetId="4" r:id="rId4"/>
    <sheet name="Register-DecisionTable" sheetId="5" r:id="rId5"/>
  </sheets>
  <definedNames>
    <definedName name="ACTION" localSheetId="0">#REF!</definedName>
    <definedName name="ACTION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D8" i="5"/>
  <c r="C8" i="5"/>
  <c r="B8" i="5"/>
  <c r="E7" i="5"/>
  <c r="D7" i="5"/>
  <c r="C7" i="5"/>
  <c r="B7" i="5"/>
  <c r="E6" i="5"/>
  <c r="G11" i="4" s="1"/>
  <c r="G14" i="4" s="1"/>
  <c r="D6" i="5"/>
  <c r="F11" i="4" s="1"/>
  <c r="F14" i="4" s="1"/>
  <c r="C6" i="5"/>
  <c r="E11" i="4" s="1"/>
  <c r="E14" i="4" s="1"/>
  <c r="B6" i="5"/>
  <c r="D11" i="4" s="1"/>
  <c r="D14" i="4" s="1"/>
  <c r="B4" i="5"/>
  <c r="H11" i="4" s="1"/>
  <c r="H14" i="4" s="1"/>
  <c r="C11" i="4"/>
  <c r="C4" i="4"/>
  <c r="C5" i="4" s="1"/>
  <c r="C3" i="4"/>
  <c r="D4" i="2"/>
  <c r="D3" i="2"/>
  <c r="B6" i="1"/>
  <c r="E17" i="4" l="1"/>
  <c r="E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0" authorId="0" shapeId="0" xr:uid="{00000000-0006-0000-0000-000001000000}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400-000001000000}">
      <text>
        <r>
          <rPr>
            <sz val="10"/>
            <rFont val="Arial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<sst xmlns="http://schemas.openxmlformats.org/spreadsheetml/2006/main" count="266" uniqueCount="145">
  <si>
    <t>SYSTEM TEST REPORT DOCUMENT</t>
  </si>
  <si>
    <t>Project Name</t>
  </si>
  <si>
    <t>Project Code</t>
  </si>
  <si>
    <t>Issue Date</t>
  </si>
  <si>
    <t>Document Code</t>
  </si>
  <si>
    <t>1.0</t>
  </si>
  <si>
    <t>Record of change</t>
  </si>
  <si>
    <t>Effective Date</t>
  </si>
  <si>
    <t>Version</t>
  </si>
  <si>
    <t>Change Item</t>
  </si>
  <si>
    <t>*A,D,M</t>
  </si>
  <si>
    <t>Change description</t>
  </si>
  <si>
    <t>Reference</t>
  </si>
  <si>
    <t>Register - Decision Table Testing</t>
  </si>
  <si>
    <t>A</t>
  </si>
  <si>
    <t>Created: Applied Decision Table Testing to the customer Register function</t>
  </si>
  <si>
    <t>RegisterServlet.java, ValidationUtil.java, AuthServiceImpl.java, register.jsp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</si>
  <si>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</si>
  <si>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</si>
  <si>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</si>
  <si>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</si>
  <si>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</si>
  <si>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</si>
  <si>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</si>
  <si>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Register (Account Registration) - Decision Table Testing</t>
  </si>
  <si>
    <t>Register-DecisionTable</t>
  </si>
  <si>
    <t>Verify the field-validation rules on the registration form (username, full name, email, phone, password, confirm password) and the username/email uniqueness rules, using Decision Table Testing (see Decision Table sheet).</t>
  </si>
  <si>
    <t>The /auth/register page has been accessed and the user is not logged in.</t>
  </si>
  <si>
    <t>DECISION TABLE - REGISTER (ACCOUNT REGISTRATION) FUNCTION</t>
  </si>
  <si>
    <t>Source: auth/register.jsp -&gt; RegisterServlet.doPost() -&gt; ValidationUtil -&gt; AuthServiceImpl.registerCustomer(). Conditions are checked sequentially (short-circuit): once a condition fails, the conditions below it no longer matter (marked "-").</t>
  </si>
  <si>
    <t>#</t>
  </si>
  <si>
    <t>Condition / Action</t>
  </si>
  <si>
    <t>R1</t>
  </si>
  <si>
    <t>R2</t>
  </si>
  <si>
    <t>R3</t>
  </si>
  <si>
    <t>R4</t>
  </si>
  <si>
    <t>R5</t>
  </si>
  <si>
    <t>R6</t>
  </si>
  <si>
    <t>R7</t>
  </si>
  <si>
    <t>R8</t>
  </si>
  <si>
    <t>C1</t>
  </si>
  <si>
    <t>C1 - All 5 required fields are filled in (username, fullName, email, password, confirmPassword)</t>
  </si>
  <si>
    <t>N</t>
  </si>
  <si>
    <t>Y</t>
  </si>
  <si>
    <t>C2</t>
  </si>
  <si>
    <t>C2 - Email is in valid format (EMAIL_PATTERN)</t>
  </si>
  <si>
    <t>-</t>
  </si>
  <si>
    <t>C3</t>
  </si>
  <si>
    <t>C3 - Phone is empty OR in valid VN format (PHONE_PATTERN)</t>
  </si>
  <si>
    <t>C4</t>
  </si>
  <si>
    <t>C4 - Password is valid (&gt;=8 chars, has upper+lower+digit)</t>
  </si>
  <si>
    <t>C5</t>
  </si>
  <si>
    <t>C5 - Password == Confirm Password</t>
  </si>
  <si>
    <t>C6</t>
  </si>
  <si>
    <t>C6 - Username does not already exist (findByUsername)</t>
  </si>
  <si>
    <t>C7</t>
  </si>
  <si>
    <t>C7 - Email is not already used (existsByEmail)</t>
  </si>
  <si>
    <t>Action</t>
  </si>
  <si>
    <t>A1: Error "Please fill in all required fields."</t>
  </si>
  <si>
    <t>A2: Error "Please enter a valid email address."</t>
  </si>
  <si>
    <t>A3: Error "Please enter a valid Vietnamese phone number."</t>
  </si>
  <si>
    <t>A4: Error "Password must be at least 8 characters and include uppercase, lowercase, and numeric characters."</t>
  </si>
  <si>
    <t>A5: Error "Password confirmation does not match."</t>
  </si>
  <si>
    <t>A6: Error "Username already exists."</t>
  </si>
  <si>
    <t>A7: Error "Email is already used by another account."</t>
  </si>
  <si>
    <t>A8: Account created successfully, verification email sent, redirect to login?registered=true</t>
  </si>
  <si>
    <t>Corresponding Test Case ID:</t>
  </si>
  <si>
    <t>TC-REG-01</t>
  </si>
  <si>
    <t>TC-REG-02</t>
  </si>
  <si>
    <t>TC-REG-03</t>
  </si>
  <si>
    <t>TC-REG-04</t>
  </si>
  <si>
    <t>TC-REG-05</t>
  </si>
  <si>
    <t>TC-REG-06</t>
  </si>
  <si>
    <t>TC-REG-07</t>
  </si>
  <si>
    <t>TC-REG-08</t>
  </si>
  <si>
    <t>Note:</t>
  </si>
  <si>
    <t>TC-REG-09 is an additional test case for the C3 = empty branch (Phone left blank), separated from R8 to fully cover both cases of the condition "Phone empty OR valid".</t>
  </si>
  <si>
    <t>TEST STATISTICS</t>
  </si>
  <si>
    <t>Notes</t>
  </si>
  <si>
    <t>This release includes 1 module: Register (Account Registration) - tested using Decision Table Testing.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</si>
  <si>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</si>
  <si>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</si>
  <si>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</si>
  <si>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</si>
  <si>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</si>
  <si>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</si>
  <si>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</si>
  <si>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</si>
  <si>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</si>
  <si>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</si>
  <si>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</si>
  <si>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Test requirement</t>
  </si>
  <si>
    <t>Verify the validation rules on the customer Register (account registration) form, designed from the Decision Table (see Decision Table sheet). Source: RegisterServlet.doPost(), ValidationUtil, AuthServiceImpl.registerCustomer().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</si>
  <si>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</si>
  <si>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</si>
  <si>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</si>
  <si>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</si>
  <si>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</si>
  <si>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</si>
  <si>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</si>
  <si>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</si>
  <si>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</si>
  <si>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</si>
  <si>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</si>
  <si>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</si>
  <si>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</si>
  <si>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Register (Decision Table Testing - 8 rules + 1 additional)</t>
  </si>
  <si>
    <t>Leave required fields blank (Rule R1: C1=N)</t>
  </si>
  <si>
    <t>1. Go to /auth/register. 2. Enter Username, Full Name, Email; leave Password and Confirm Password blank. 3. Click "Create Account".</t>
  </si>
  <si>
    <t>The system rejects the submission and shows the error "Please fill in all required fields." No account is created.</t>
  </si>
  <si>
    <t>Not logged in, on the /auth/register page.</t>
  </si>
  <si>
    <t>All required fields filled but Email has an invalid format (Rule R2: C1=Y, C2=N)</t>
  </si>
  <si>
    <t>1. Go to /auth/register. 2. Fill in all fields: Username=hoangm1, Full Name=Hoang Minh, Email=hoangm1@gmail (missing .com), Password=Abcd1234, Confirm=Abcd1234. 3. Click "Create Account".</t>
  </si>
  <si>
    <t>The system shows the error "Please enter a valid email address." No account is created.</t>
  </si>
  <si>
    <t>Email valid, Phone entered with invalid format (Rule R3: C1=Y, C2=Y, C3=N)</t>
  </si>
  <si>
    <t>1. Go to /auth/register. 2. Enter a valid Email (hoangm2@gmail.com), Phone=012345678 (invalid leading digit), Password=Abcd1234, Confirm=Abcd1234. 3. Click "Create Account".</t>
  </si>
  <si>
    <t>The system shows the error "Please enter a valid Vietnamese phone number." No account is created.</t>
  </si>
  <si>
    <t>Phone valid, Password has an invalid format - missing uppercase (Rule R4: C1=Y, C2=Y, C3=Y, C4=N)</t>
  </si>
  <si>
    <t>1. Go to /auth/register. 2. Enter Phone=0987654321, Password=abcd1234 (no uppercase letter), Confirm=abcd1234. 3. Click "Create Account".</t>
  </si>
  <si>
    <t>The system shows the error "Password must be at least 8 characters and include uppercase, lowercase, and numeric characters." No account is created.</t>
  </si>
  <si>
    <t>Password valid but Confirm Password does not match (Rule R5: C1..C4=Y, C5=N)</t>
  </si>
  <si>
    <t>1. Go to /auth/register. 2. Enter Password=Abcd1234, Confirm Password=Abcd12345 (different). 3. Click "Create Account".</t>
  </si>
  <si>
    <t>The system shows the error "Password confirmation does not match." No account is created.</t>
  </si>
  <si>
    <t>Everything valid but Username already exists (Rule R6: C1..C5=Y, C6=N)</t>
  </si>
  <si>
    <t>1. Go to /auth/register. 2. Enter a Username that already exists in the system (e.g. "jsmith"); all other fields are valid and unused. 3. Click "Create Account".</t>
  </si>
  <si>
    <t>The system shows the error "Username already exists." No account is created.</t>
  </si>
  <si>
    <t>An account with username "jsmith" already exists in the system. Not logged in.</t>
  </si>
  <si>
    <t>Username is new but Email is already used (Rule R7: C1..C6=Y, C7=N)</t>
  </si>
  <si>
    <t>1. Go to /auth/register. 2. Enter a new Username that does not exist yet; Email matches one already registered (e.g. "jsmith@elcaminohospital.com"); all other fields are valid. 3. Click "Create Account".</t>
  </si>
  <si>
    <t>The system shows the error "Email is already used by another account." No account is created.</t>
  </si>
  <si>
    <t>An account with email "jsmith@elcaminohospital.com" already exists in the system. Not logged in.</t>
  </si>
  <si>
    <t>All conditions valid - registration succeeds (Rule R8: C1..C7=Y)</t>
  </si>
  <si>
    <t>1. Go to /auth/register. 2. Enter Username, Full Name, Email, Phone, Password, Confirm Password, all valid and not already used in the system. 3. Click "Create Account".</t>
  </si>
  <si>
    <t>The account is created successfully; the system sends a verification email and redirects to /auth/login?registered=true.</t>
  </si>
  <si>
    <t>The entered Username and Email do not already exist in the system. Not logged in.</t>
  </si>
  <si>
    <t>TC-REG-09</t>
  </si>
  <si>
    <t>All conditions valid, Phone left blank (additional case for the C3 = empty branch)</t>
  </si>
  <si>
    <t>1. Go to /auth/register. 2. Fill in Username, Full Name, Email, Password, Confirm Password, all valid and not already used; leave the Phone field blank. 3. Click "Create Account".</t>
  </si>
  <si>
    <t>The account is created successfully (Phone is an optional field and is stored as null); the system sends a verification email and redirects to /auth/login?registered=true.</t>
  </si>
  <si>
    <t>Nguyen Thuy Trang</t>
  </si>
  <si>
    <t>PentaPlex</t>
  </si>
  <si>
    <t>1. Tomcat 10 (Jakarta Servlet)
2. SQL Server 2019+
3. Web Browser (latest Chrome/Edge)
4. System application deployed on localhost</t>
  </si>
  <si>
    <t>Creator</t>
  </si>
  <si>
    <t>Reviewer/Approver</t>
  </si>
  <si>
    <t>Pham Quoc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</si>
</sst>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mm\-yy;@"/>
  </numFmts>
  <fonts count="31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/>
      <sz val="26"/>
      <color rgb="FFFF0000"/>
      <name val="Tahoma"/>
      <family val="2"/>
      <charset val="1"/>
    </font>
    <font>
      <b/>
      <sz val="20"/>
      <color rgb="FF000000"/>
      <name val="Tahoma"/>
      <family val="2"/>
      <charset val="1"/>
    </font>
    <font>
      <b/>
      <sz val="10"/>
      <color rgb="FF993300"/>
      <name val="Tahoma"/>
      <family val="2"/>
      <charset val="1"/>
    </font>
    <font>
      <i/>
      <sz val="10"/>
      <color rgb="FF008000"/>
      <name val="Tahoma"/>
      <family val="2"/>
      <charset val="1"/>
    </font>
    <font>
      <b/>
      <sz val="10"/>
      <name val="Tahoma"/>
      <family val="2"/>
      <charset val="1"/>
    </font>
    <font>
      <i/>
      <sz val="10"/>
      <name val="Tahoma"/>
      <family val="2"/>
      <charset val="1"/>
    </font>
    <font>
      <b/>
      <sz val="10"/>
      <color rgb="FFFFFFFF"/>
      <name val="Tahoma"/>
      <family val="2"/>
      <charset val="1"/>
    </font>
    <font>
      <sz val="10"/>
      <name val="Arial"/>
      <family val="2"/>
    </font>
    <font>
      <b/>
      <sz val="10"/>
      <color rgb="FF000000"/>
      <name val="Tahoma"/>
      <family val="2"/>
      <charset val="1"/>
    </font>
    <font>
      <b/>
      <sz val="10"/>
      <color rgb="FFFF0000"/>
      <name val="Tahoma"/>
      <family val="2"/>
      <charset val="1"/>
    </font>
    <font>
      <u/>
      <sz val="11"/>
      <color rgb="FF0000FF"/>
      <name val="ＭＳ Ｐゴシック"/>
      <family val="3"/>
      <charset val="128"/>
    </font>
    <font>
      <u/>
      <sz val="10"/>
      <color rgb="FF0000FF"/>
      <name val="Tahoma"/>
      <family val="2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62828"/>
      <name val="Arial"/>
      <charset val="1"/>
    </font>
    <font>
      <b/>
      <sz val="10"/>
      <color rgb="FF2E7D32"/>
      <name val="Arial"/>
      <charset val="1"/>
    </font>
    <font>
      <i/>
      <sz val="10"/>
      <color rgb="FF9E9E9E"/>
      <name val="Arial"/>
      <charset val="1"/>
    </font>
    <font>
      <sz val="9"/>
      <name val="Arial"/>
      <charset val="1"/>
    </font>
    <font>
      <sz val="10"/>
      <color rgb="FFFFFFFF"/>
      <name val="Tahoma"/>
      <family val="2"/>
      <charset val="1"/>
    </font>
    <font>
      <b/>
      <sz val="10"/>
      <color rgb="FF0000FF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Tahoma"/>
      <family val="2"/>
      <charset val="1"/>
    </font>
    <font>
      <b/>
      <i/>
      <sz val="10"/>
      <name val="Tahoma"/>
      <family val="2"/>
      <charset val="1"/>
    </font>
    <font>
      <u/>
      <sz val="11"/>
      <color theme="10"/>
      <name val="ＭＳ Ｐゴシック"/>
      <charset val="128"/>
    </font>
    <font>
      <u/>
      <sz val="11"/>
      <color indexed="12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05496"/>
      </patternFill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F2F2F2"/>
      </patternFill>
    </fill>
    <fill>
      <patternFill patternType="solid">
        <fgColor rgb="FFF8CBAD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C6E0B4"/>
      </patternFill>
    </fill>
    <fill>
      <patternFill patternType="solid">
        <fgColor rgb="FFFCE4D6"/>
        <bgColor rgb="FFFFF2CC"/>
      </patternFill>
    </fill>
    <fill>
      <patternFill patternType="solid">
        <fgColor theme="6" tint="-0.249977111117893"/>
        <bgColor rgb="FF808080"/>
      </patternFill>
    </fill>
    <fill>
      <patternFill patternType="solid">
        <fgColor rgb="FFCCFFFF"/>
        <bgColor rgb="FFC6EFCE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9" fillId="0" borderId="0" applyNumberFormat="0" applyFill="0" applyBorder="0" applyAlignment="0" applyProtection="0"/>
    <xf numFmtId="0" fontId="1" fillId="0" borderId="0"/>
    <xf numFmtId="0" fontId="30" fillId="0" borderId="0" applyNumberFormat="0" applyFill="0" applyBorder="0" applyAlignment="0" applyProtection="0"/>
  </cellStyleXfs>
  <cellXfs count="158">
    <xf numFmtId="0" fontId="0" fillId="0" borderId="0" xfId="0"/>
    <xf numFmtId="0" fontId="6" fillId="2" borderId="2" xfId="0" applyFont="1" applyFill="1" applyBorder="1" applyAlignment="1">
      <alignment vertical="top"/>
    </xf>
    <xf numFmtId="0" fontId="4" fillId="2" borderId="0" xfId="0" applyFont="1" applyFill="1" applyAlignment="1">
      <alignment horizontal="center"/>
    </xf>
    <xf numFmtId="0" fontId="16" fillId="0" borderId="14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vertical="top" wrapText="1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/>
    </xf>
    <xf numFmtId="1" fontId="5" fillId="2" borderId="1" xfId="0" applyNumberFormat="1" applyFont="1" applyFill="1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2" borderId="0" xfId="0" applyFont="1" applyFill="1"/>
    <xf numFmtId="0" fontId="7" fillId="2" borderId="2" xfId="0" applyFont="1" applyFill="1" applyBorder="1" applyAlignment="1">
      <alignment horizontal="left"/>
    </xf>
    <xf numFmtId="0" fontId="2" fillId="0" borderId="3" xfId="0" applyFont="1" applyBorder="1"/>
    <xf numFmtId="164" fontId="8" fillId="0" borderId="3" xfId="0" applyNumberFormat="1" applyFont="1" applyBorder="1"/>
    <xf numFmtId="0" fontId="7" fillId="2" borderId="2" xfId="0" applyFont="1" applyFill="1" applyBorder="1" applyAlignment="1">
      <alignment vertical="center"/>
    </xf>
    <xf numFmtId="0" fontId="8" fillId="0" borderId="3" xfId="0" applyFont="1" applyBorder="1" applyAlignment="1">
      <alignment horizontal="left" indent="1"/>
    </xf>
    <xf numFmtId="0" fontId="7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165" fontId="9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8" fillId="0" borderId="7" xfId="0" applyNumberFormat="1" applyFont="1" applyBorder="1" applyAlignment="1">
      <alignment vertical="top" wrapText="1"/>
    </xf>
    <xf numFmtId="49" fontId="2" fillId="0" borderId="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8" fillId="0" borderId="9" xfId="0" applyFont="1" applyBorder="1" applyAlignment="1">
      <alignment vertical="top" wrapText="1"/>
    </xf>
    <xf numFmtId="0" fontId="2" fillId="0" borderId="0" xfId="0" applyFont="1" applyAlignment="1">
      <alignment vertical="top"/>
    </xf>
    <xf numFmtId="165" fontId="2" fillId="0" borderId="7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5" fontId="2" fillId="0" borderId="10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0" fontId="6" fillId="2" borderId="2" xfId="0" applyFont="1" applyFill="1" applyBorder="1" applyAlignment="1">
      <alignment vertical="top"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1" fontId="9" fillId="4" borderId="4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left" vertical="top" wrapText="1"/>
    </xf>
    <xf numFmtId="0" fontId="19" fillId="6" borderId="14" xfId="0" applyFont="1" applyFill="1" applyBorder="1" applyAlignment="1">
      <alignment vertical="center" wrapText="1"/>
    </xf>
    <xf numFmtId="0" fontId="19" fillId="6" borderId="14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left" vertical="top" wrapText="1"/>
    </xf>
    <xf numFmtId="0" fontId="19" fillId="7" borderId="14" xfId="0" applyFont="1" applyFill="1" applyBorder="1" applyAlignment="1">
      <alignment vertical="center" wrapText="1"/>
    </xf>
    <xf numFmtId="0" fontId="20" fillId="8" borderId="14" xfId="0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/>
    </xf>
    <xf numFmtId="0" fontId="22" fillId="10" borderId="14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left" vertical="center" wrapText="1"/>
    </xf>
    <xf numFmtId="0" fontId="23" fillId="11" borderId="14" xfId="0" applyFont="1" applyFill="1" applyBorder="1" applyAlignment="1">
      <alignment horizontal="center" vertical="center" wrapText="1"/>
    </xf>
    <xf numFmtId="0" fontId="23" fillId="12" borderId="14" xfId="0" applyFont="1" applyFill="1" applyBorder="1" applyAlignment="1">
      <alignment horizontal="center" vertical="center" wrapText="1"/>
    </xf>
    <xf numFmtId="0" fontId="16" fillId="13" borderId="14" xfId="0" applyFont="1" applyFill="1" applyBorder="1" applyAlignment="1">
      <alignment horizontal="left" vertical="top" wrapText="1"/>
    </xf>
    <xf numFmtId="0" fontId="16" fillId="9" borderId="14" xfId="0" applyFont="1" applyFill="1" applyBorder="1" applyAlignment="1">
      <alignment horizontal="left" vertical="top" wrapText="1"/>
    </xf>
    <xf numFmtId="0" fontId="7" fillId="2" borderId="0" xfId="0" applyFont="1" applyFill="1"/>
    <xf numFmtId="165" fontId="2" fillId="2" borderId="0" xfId="0" applyNumberFormat="1" applyFont="1" applyFill="1"/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top"/>
    </xf>
    <xf numFmtId="0" fontId="5" fillId="2" borderId="2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top"/>
    </xf>
    <xf numFmtId="0" fontId="5" fillId="2" borderId="0" xfId="0" applyFont="1" applyFill="1"/>
    <xf numFmtId="0" fontId="6" fillId="2" borderId="0" xfId="0" applyFont="1" applyFill="1"/>
    <xf numFmtId="0" fontId="2" fillId="2" borderId="15" xfId="0" applyFont="1" applyFill="1" applyBorder="1"/>
    <xf numFmtId="0" fontId="9" fillId="3" borderId="16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9" fillId="3" borderId="11" xfId="0" applyFont="1" applyFill="1" applyBorder="1"/>
    <xf numFmtId="0" fontId="24" fillId="3" borderId="11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25" fillId="2" borderId="0" xfId="0" applyNumberFormat="1" applyFont="1" applyFill="1" applyAlignment="1">
      <alignment horizontal="right" wrapText="1"/>
    </xf>
    <xf numFmtId="0" fontId="26" fillId="2" borderId="0" xfId="0" applyFont="1" applyFill="1" applyAlignment="1">
      <alignment horizontal="center" wrapText="1"/>
    </xf>
    <xf numFmtId="0" fontId="27" fillId="2" borderId="0" xfId="0" applyFont="1" applyFill="1"/>
    <xf numFmtId="0" fontId="7" fillId="2" borderId="23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wrapText="1"/>
    </xf>
    <xf numFmtId="0" fontId="27" fillId="2" borderId="0" xfId="0" applyFont="1" applyFill="1" applyAlignment="1">
      <alignment wrapText="1"/>
    </xf>
    <xf numFmtId="0" fontId="26" fillId="2" borderId="0" xfId="0" applyFont="1" applyFill="1"/>
    <xf numFmtId="0" fontId="7" fillId="2" borderId="25" xfId="0" applyFont="1" applyFill="1" applyBorder="1" applyAlignment="1">
      <alignment horizontal="center" vertical="top" wrapText="1"/>
    </xf>
    <xf numFmtId="0" fontId="28" fillId="2" borderId="25" xfId="0" applyFont="1" applyFill="1" applyBorder="1" applyAlignment="1">
      <alignment horizontal="center" vertical="top" wrapText="1"/>
    </xf>
    <xf numFmtId="0" fontId="28" fillId="2" borderId="2" xfId="0" applyFont="1" applyFill="1" applyBorder="1" applyAlignment="1">
      <alignment horizontal="center" vertical="top" wrapText="1"/>
    </xf>
    <xf numFmtId="0" fontId="28" fillId="2" borderId="26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7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6" xfId="0" applyFont="1" applyFill="1" applyBorder="1" applyAlignment="1">
      <alignment horizontal="center" vertical="top" wrapText="1"/>
    </xf>
    <xf numFmtId="0" fontId="26" fillId="2" borderId="0" xfId="0" applyFont="1" applyFill="1" applyAlignment="1">
      <alignment horizontal="center" vertical="center" wrapText="1"/>
    </xf>
    <xf numFmtId="0" fontId="28" fillId="2" borderId="27" xfId="0" applyFont="1" applyFill="1" applyBorder="1" applyAlignment="1">
      <alignment horizontal="center" vertical="top" wrapText="1"/>
    </xf>
    <xf numFmtId="0" fontId="2" fillId="2" borderId="28" xfId="0" applyFont="1" applyFill="1" applyBorder="1" applyAlignment="1">
      <alignment horizontal="center" vertical="top" wrapText="1"/>
    </xf>
    <xf numFmtId="0" fontId="2" fillId="2" borderId="29" xfId="0" applyFont="1" applyFill="1" applyBorder="1" applyAlignment="1">
      <alignment horizontal="center" vertical="top" wrapText="1"/>
    </xf>
    <xf numFmtId="0" fontId="9" fillId="14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7" fillId="15" borderId="30" xfId="0" applyFont="1" applyFill="1" applyBorder="1" applyAlignment="1">
      <alignment horizontal="left" vertical="center"/>
    </xf>
    <xf numFmtId="0" fontId="7" fillId="15" borderId="31" xfId="0" applyFont="1" applyFill="1" applyBorder="1" applyAlignment="1">
      <alignment horizontal="left" vertical="center"/>
    </xf>
    <xf numFmtId="0" fontId="7" fillId="15" borderId="3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vertical="top" wrapText="1"/>
    </xf>
    <xf numFmtId="0" fontId="26" fillId="2" borderId="0" xfId="0" applyFont="1" applyFill="1" applyAlignment="1">
      <alignment vertical="top"/>
    </xf>
    <xf numFmtId="0" fontId="27" fillId="2" borderId="0" xfId="0" applyFont="1" applyFill="1" applyAlignment="1">
      <alignment vertical="top" wrapText="1"/>
    </xf>
    <xf numFmtId="0" fontId="26" fillId="2" borderId="2" xfId="0" applyFont="1" applyFill="1" applyBorder="1" applyAlignment="1">
      <alignment vertical="top" wrapText="1"/>
    </xf>
    <xf numFmtId="0" fontId="2" fillId="2" borderId="2" xfId="0" applyFont="1" applyFill="1" applyBorder="1"/>
    <xf numFmtId="0" fontId="2" fillId="2" borderId="2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7" fillId="15" borderId="2" xfId="0" applyFont="1" applyFill="1" applyBorder="1" applyAlignment="1">
      <alignment vertical="top" wrapText="1"/>
    </xf>
    <xf numFmtId="0" fontId="7" fillId="15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0" fontId="29" fillId="2" borderId="8" xfId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top" wrapText="1"/>
    </xf>
    <xf numFmtId="15" fontId="2" fillId="0" borderId="8" xfId="0" applyNumberFormat="1" applyFont="1" applyBorder="1" applyAlignment="1">
      <alignment vertical="top" wrapText="1"/>
    </xf>
    <xf numFmtId="0" fontId="6" fillId="2" borderId="2" xfId="0" applyFont="1" applyFill="1" applyBorder="1" applyAlignment="1"/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</cellXfs>
  <cellStyles count="4">
    <cellStyle name="Hyperlink" xfId="1" builtinId="8"/>
    <cellStyle name="Hyperlink 2" xfId="3" xr:uid="{6F665CFB-E09D-44F0-9B09-91843C45F513}"/>
    <cellStyle name="Normal" xfId="0" builtinId="0"/>
    <cellStyle name="標準_結合試験(AllOvertheWorld)" xfId="2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C62828"/>
      <rgbColor rgb="FFFFF2CC"/>
      <rgbColor rgb="FFCCFFFF"/>
      <rgbColor rgb="FF660066"/>
      <rgbColor rgb="FFFF8080"/>
      <rgbColor rgb="FF30549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C6E0B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E9E9E"/>
      <rgbColor rgb="FF1F4E78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88920</xdr:rowOff>
    </xdr:from>
    <xdr:to>
      <xdr:col>0</xdr:col>
      <xdr:colOff>1924620</xdr:colOff>
      <xdr:row>1</xdr:row>
      <xdr:rowOff>754920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50920"/>
          <a:ext cx="2008440" cy="666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zoomScale="85" zoomScaleNormal="85" workbookViewId="0">
      <selection activeCell="C21" sqref="C21"/>
    </sheetView>
  </sheetViews>
  <sheetFormatPr defaultColWidth="9" defaultRowHeight="13.2"/>
  <cols>
    <col min="1" max="1" width="28.109375" style="12" customWidth="1"/>
    <col min="2" max="2" width="10" style="13" customWidth="1"/>
    <col min="3" max="3" width="20.77734375" style="13" customWidth="1"/>
    <col min="4" max="4" width="8" style="13" customWidth="1"/>
    <col min="5" max="5" width="38" style="13" customWidth="1"/>
    <col min="6" max="6" width="48.109375" style="13" customWidth="1"/>
    <col min="7" max="256" width="9" style="13"/>
    <col min="257" max="257" width="28.109375" style="13" customWidth="1"/>
    <col min="258" max="258" width="10" style="13" customWidth="1"/>
    <col min="259" max="259" width="14.33203125" style="13" customWidth="1"/>
    <col min="260" max="260" width="8" style="13" customWidth="1"/>
    <col min="261" max="261" width="38" style="13" customWidth="1"/>
    <col min="262" max="262" width="48.109375" style="13" customWidth="1"/>
    <col min="263" max="512" width="9" style="13"/>
    <col min="513" max="513" width="28.109375" style="13" customWidth="1"/>
    <col min="514" max="514" width="10" style="13" customWidth="1"/>
    <col min="515" max="515" width="14.33203125" style="13" customWidth="1"/>
    <col min="516" max="516" width="8" style="13" customWidth="1"/>
    <col min="517" max="517" width="38" style="13" customWidth="1"/>
    <col min="518" max="518" width="48.109375" style="13" customWidth="1"/>
    <col min="519" max="768" width="9" style="13"/>
    <col min="769" max="769" width="28.109375" style="13" customWidth="1"/>
    <col min="770" max="770" width="10" style="13" customWidth="1"/>
    <col min="771" max="771" width="14.33203125" style="13" customWidth="1"/>
    <col min="772" max="772" width="8" style="13" customWidth="1"/>
    <col min="773" max="773" width="38" style="13" customWidth="1"/>
    <col min="774" max="774" width="48.109375" style="13" customWidth="1"/>
    <col min="775" max="1024" width="9" style="13"/>
    <col min="1025" max="1025" width="28.109375" style="13" customWidth="1"/>
    <col min="1026" max="1026" width="10" style="13" customWidth="1"/>
    <col min="1027" max="1027" width="14.33203125" style="13" customWidth="1"/>
    <col min="1028" max="1028" width="8" style="13" customWidth="1"/>
    <col min="1029" max="1029" width="38" style="13" customWidth="1"/>
    <col min="1030" max="1030" width="48.109375" style="13" customWidth="1"/>
    <col min="1031" max="1280" width="9" style="13"/>
    <col min="1281" max="1281" width="28.109375" style="13" customWidth="1"/>
    <col min="1282" max="1282" width="10" style="13" customWidth="1"/>
    <col min="1283" max="1283" width="14.33203125" style="13" customWidth="1"/>
    <col min="1284" max="1284" width="8" style="13" customWidth="1"/>
    <col min="1285" max="1285" width="38" style="13" customWidth="1"/>
    <col min="1286" max="1286" width="48.109375" style="13" customWidth="1"/>
    <col min="1287" max="1536" width="9" style="13"/>
    <col min="1537" max="1537" width="28.109375" style="13" customWidth="1"/>
    <col min="1538" max="1538" width="10" style="13" customWidth="1"/>
    <col min="1539" max="1539" width="14.33203125" style="13" customWidth="1"/>
    <col min="1540" max="1540" width="8" style="13" customWidth="1"/>
    <col min="1541" max="1541" width="38" style="13" customWidth="1"/>
    <col min="1542" max="1542" width="48.109375" style="13" customWidth="1"/>
    <col min="1543" max="1792" width="9" style="13"/>
    <col min="1793" max="1793" width="28.109375" style="13" customWidth="1"/>
    <col min="1794" max="1794" width="10" style="13" customWidth="1"/>
    <col min="1795" max="1795" width="14.33203125" style="13" customWidth="1"/>
    <col min="1796" max="1796" width="8" style="13" customWidth="1"/>
    <col min="1797" max="1797" width="38" style="13" customWidth="1"/>
    <col min="1798" max="1798" width="48.109375" style="13" customWidth="1"/>
    <col min="1799" max="2048" width="9" style="13"/>
    <col min="2049" max="2049" width="28.109375" style="13" customWidth="1"/>
    <col min="2050" max="2050" width="10" style="13" customWidth="1"/>
    <col min="2051" max="2051" width="14.33203125" style="13" customWidth="1"/>
    <col min="2052" max="2052" width="8" style="13" customWidth="1"/>
    <col min="2053" max="2053" width="38" style="13" customWidth="1"/>
    <col min="2054" max="2054" width="48.109375" style="13" customWidth="1"/>
    <col min="2055" max="2304" width="9" style="13"/>
    <col min="2305" max="2305" width="28.109375" style="13" customWidth="1"/>
    <col min="2306" max="2306" width="10" style="13" customWidth="1"/>
    <col min="2307" max="2307" width="14.33203125" style="13" customWidth="1"/>
    <col min="2308" max="2308" width="8" style="13" customWidth="1"/>
    <col min="2309" max="2309" width="38" style="13" customWidth="1"/>
    <col min="2310" max="2310" width="48.109375" style="13" customWidth="1"/>
    <col min="2311" max="2560" width="9" style="13"/>
    <col min="2561" max="2561" width="28.109375" style="13" customWidth="1"/>
    <col min="2562" max="2562" width="10" style="13" customWidth="1"/>
    <col min="2563" max="2563" width="14.33203125" style="13" customWidth="1"/>
    <col min="2564" max="2564" width="8" style="13" customWidth="1"/>
    <col min="2565" max="2565" width="38" style="13" customWidth="1"/>
    <col min="2566" max="2566" width="48.109375" style="13" customWidth="1"/>
    <col min="2567" max="2816" width="9" style="13"/>
    <col min="2817" max="2817" width="28.109375" style="13" customWidth="1"/>
    <col min="2818" max="2818" width="10" style="13" customWidth="1"/>
    <col min="2819" max="2819" width="14.33203125" style="13" customWidth="1"/>
    <col min="2820" max="2820" width="8" style="13" customWidth="1"/>
    <col min="2821" max="2821" width="38" style="13" customWidth="1"/>
    <col min="2822" max="2822" width="48.109375" style="13" customWidth="1"/>
    <col min="2823" max="3072" width="9" style="13"/>
    <col min="3073" max="3073" width="28.109375" style="13" customWidth="1"/>
    <col min="3074" max="3074" width="10" style="13" customWidth="1"/>
    <col min="3075" max="3075" width="14.33203125" style="13" customWidth="1"/>
    <col min="3076" max="3076" width="8" style="13" customWidth="1"/>
    <col min="3077" max="3077" width="38" style="13" customWidth="1"/>
    <col min="3078" max="3078" width="48.109375" style="13" customWidth="1"/>
    <col min="3079" max="3328" width="9" style="13"/>
    <col min="3329" max="3329" width="28.109375" style="13" customWidth="1"/>
    <col min="3330" max="3330" width="10" style="13" customWidth="1"/>
    <col min="3331" max="3331" width="14.33203125" style="13" customWidth="1"/>
    <col min="3332" max="3332" width="8" style="13" customWidth="1"/>
    <col min="3333" max="3333" width="38" style="13" customWidth="1"/>
    <col min="3334" max="3334" width="48.109375" style="13" customWidth="1"/>
    <col min="3335" max="3584" width="9" style="13"/>
    <col min="3585" max="3585" width="28.109375" style="13" customWidth="1"/>
    <col min="3586" max="3586" width="10" style="13" customWidth="1"/>
    <col min="3587" max="3587" width="14.33203125" style="13" customWidth="1"/>
    <col min="3588" max="3588" width="8" style="13" customWidth="1"/>
    <col min="3589" max="3589" width="38" style="13" customWidth="1"/>
    <col min="3590" max="3590" width="48.109375" style="13" customWidth="1"/>
    <col min="3591" max="3840" width="9" style="13"/>
    <col min="3841" max="3841" width="28.109375" style="13" customWidth="1"/>
    <col min="3842" max="3842" width="10" style="13" customWidth="1"/>
    <col min="3843" max="3843" width="14.33203125" style="13" customWidth="1"/>
    <col min="3844" max="3844" width="8" style="13" customWidth="1"/>
    <col min="3845" max="3845" width="38" style="13" customWidth="1"/>
    <col min="3846" max="3846" width="48.109375" style="13" customWidth="1"/>
    <col min="3847" max="4096" width="9" style="13"/>
    <col min="4097" max="4097" width="28.109375" style="13" customWidth="1"/>
    <col min="4098" max="4098" width="10" style="13" customWidth="1"/>
    <col min="4099" max="4099" width="14.33203125" style="13" customWidth="1"/>
    <col min="4100" max="4100" width="8" style="13" customWidth="1"/>
    <col min="4101" max="4101" width="38" style="13" customWidth="1"/>
    <col min="4102" max="4102" width="48.109375" style="13" customWidth="1"/>
    <col min="4103" max="4352" width="9" style="13"/>
    <col min="4353" max="4353" width="28.109375" style="13" customWidth="1"/>
    <col min="4354" max="4354" width="10" style="13" customWidth="1"/>
    <col min="4355" max="4355" width="14.33203125" style="13" customWidth="1"/>
    <col min="4356" max="4356" width="8" style="13" customWidth="1"/>
    <col min="4357" max="4357" width="38" style="13" customWidth="1"/>
    <col min="4358" max="4358" width="48.109375" style="13" customWidth="1"/>
    <col min="4359" max="4608" width="9" style="13"/>
    <col min="4609" max="4609" width="28.109375" style="13" customWidth="1"/>
    <col min="4610" max="4610" width="10" style="13" customWidth="1"/>
    <col min="4611" max="4611" width="14.33203125" style="13" customWidth="1"/>
    <col min="4612" max="4612" width="8" style="13" customWidth="1"/>
    <col min="4613" max="4613" width="38" style="13" customWidth="1"/>
    <col min="4614" max="4614" width="48.109375" style="13" customWidth="1"/>
    <col min="4615" max="4864" width="9" style="13"/>
    <col min="4865" max="4865" width="28.109375" style="13" customWidth="1"/>
    <col min="4866" max="4866" width="10" style="13" customWidth="1"/>
    <col min="4867" max="4867" width="14.33203125" style="13" customWidth="1"/>
    <col min="4868" max="4868" width="8" style="13" customWidth="1"/>
    <col min="4869" max="4869" width="38" style="13" customWidth="1"/>
    <col min="4870" max="4870" width="48.109375" style="13" customWidth="1"/>
    <col min="4871" max="5120" width="9" style="13"/>
    <col min="5121" max="5121" width="28.109375" style="13" customWidth="1"/>
    <col min="5122" max="5122" width="10" style="13" customWidth="1"/>
    <col min="5123" max="5123" width="14.33203125" style="13" customWidth="1"/>
    <col min="5124" max="5124" width="8" style="13" customWidth="1"/>
    <col min="5125" max="5125" width="38" style="13" customWidth="1"/>
    <col min="5126" max="5126" width="48.109375" style="13" customWidth="1"/>
    <col min="5127" max="5376" width="9" style="13"/>
    <col min="5377" max="5377" width="28.109375" style="13" customWidth="1"/>
    <col min="5378" max="5378" width="10" style="13" customWidth="1"/>
    <col min="5379" max="5379" width="14.33203125" style="13" customWidth="1"/>
    <col min="5380" max="5380" width="8" style="13" customWidth="1"/>
    <col min="5381" max="5381" width="38" style="13" customWidth="1"/>
    <col min="5382" max="5382" width="48.109375" style="13" customWidth="1"/>
    <col min="5383" max="5632" width="9" style="13"/>
    <col min="5633" max="5633" width="28.109375" style="13" customWidth="1"/>
    <col min="5634" max="5634" width="10" style="13" customWidth="1"/>
    <col min="5635" max="5635" width="14.33203125" style="13" customWidth="1"/>
    <col min="5636" max="5636" width="8" style="13" customWidth="1"/>
    <col min="5637" max="5637" width="38" style="13" customWidth="1"/>
    <col min="5638" max="5638" width="48.109375" style="13" customWidth="1"/>
    <col min="5639" max="5888" width="9" style="13"/>
    <col min="5889" max="5889" width="28.109375" style="13" customWidth="1"/>
    <col min="5890" max="5890" width="10" style="13" customWidth="1"/>
    <col min="5891" max="5891" width="14.33203125" style="13" customWidth="1"/>
    <col min="5892" max="5892" width="8" style="13" customWidth="1"/>
    <col min="5893" max="5893" width="38" style="13" customWidth="1"/>
    <col min="5894" max="5894" width="48.109375" style="13" customWidth="1"/>
    <col min="5895" max="6144" width="9" style="13"/>
    <col min="6145" max="6145" width="28.109375" style="13" customWidth="1"/>
    <col min="6146" max="6146" width="10" style="13" customWidth="1"/>
    <col min="6147" max="6147" width="14.33203125" style="13" customWidth="1"/>
    <col min="6148" max="6148" width="8" style="13" customWidth="1"/>
    <col min="6149" max="6149" width="38" style="13" customWidth="1"/>
    <col min="6150" max="6150" width="48.109375" style="13" customWidth="1"/>
    <col min="6151" max="6400" width="9" style="13"/>
    <col min="6401" max="6401" width="28.109375" style="13" customWidth="1"/>
    <col min="6402" max="6402" width="10" style="13" customWidth="1"/>
    <col min="6403" max="6403" width="14.33203125" style="13" customWidth="1"/>
    <col min="6404" max="6404" width="8" style="13" customWidth="1"/>
    <col min="6405" max="6405" width="38" style="13" customWidth="1"/>
    <col min="6406" max="6406" width="48.109375" style="13" customWidth="1"/>
    <col min="6407" max="6656" width="9" style="13"/>
    <col min="6657" max="6657" width="28.109375" style="13" customWidth="1"/>
    <col min="6658" max="6658" width="10" style="13" customWidth="1"/>
    <col min="6659" max="6659" width="14.33203125" style="13" customWidth="1"/>
    <col min="6660" max="6660" width="8" style="13" customWidth="1"/>
    <col min="6661" max="6661" width="38" style="13" customWidth="1"/>
    <col min="6662" max="6662" width="48.109375" style="13" customWidth="1"/>
    <col min="6663" max="6912" width="9" style="13"/>
    <col min="6913" max="6913" width="28.109375" style="13" customWidth="1"/>
    <col min="6914" max="6914" width="10" style="13" customWidth="1"/>
    <col min="6915" max="6915" width="14.33203125" style="13" customWidth="1"/>
    <col min="6916" max="6916" width="8" style="13" customWidth="1"/>
    <col min="6917" max="6917" width="38" style="13" customWidth="1"/>
    <col min="6918" max="6918" width="48.109375" style="13" customWidth="1"/>
    <col min="6919" max="7168" width="9" style="13"/>
    <col min="7169" max="7169" width="28.109375" style="13" customWidth="1"/>
    <col min="7170" max="7170" width="10" style="13" customWidth="1"/>
    <col min="7171" max="7171" width="14.33203125" style="13" customWidth="1"/>
    <col min="7172" max="7172" width="8" style="13" customWidth="1"/>
    <col min="7173" max="7173" width="38" style="13" customWidth="1"/>
    <col min="7174" max="7174" width="48.109375" style="13" customWidth="1"/>
    <col min="7175" max="7424" width="9" style="13"/>
    <col min="7425" max="7425" width="28.109375" style="13" customWidth="1"/>
    <col min="7426" max="7426" width="10" style="13" customWidth="1"/>
    <col min="7427" max="7427" width="14.33203125" style="13" customWidth="1"/>
    <col min="7428" max="7428" width="8" style="13" customWidth="1"/>
    <col min="7429" max="7429" width="38" style="13" customWidth="1"/>
    <col min="7430" max="7430" width="48.109375" style="13" customWidth="1"/>
    <col min="7431" max="7680" width="9" style="13"/>
    <col min="7681" max="7681" width="28.109375" style="13" customWidth="1"/>
    <col min="7682" max="7682" width="10" style="13" customWidth="1"/>
    <col min="7683" max="7683" width="14.33203125" style="13" customWidth="1"/>
    <col min="7684" max="7684" width="8" style="13" customWidth="1"/>
    <col min="7685" max="7685" width="38" style="13" customWidth="1"/>
    <col min="7686" max="7686" width="48.109375" style="13" customWidth="1"/>
    <col min="7687" max="7936" width="9" style="13"/>
    <col min="7937" max="7937" width="28.109375" style="13" customWidth="1"/>
    <col min="7938" max="7938" width="10" style="13" customWidth="1"/>
    <col min="7939" max="7939" width="14.33203125" style="13" customWidth="1"/>
    <col min="7940" max="7940" width="8" style="13" customWidth="1"/>
    <col min="7941" max="7941" width="38" style="13" customWidth="1"/>
    <col min="7942" max="7942" width="48.109375" style="13" customWidth="1"/>
    <col min="7943" max="8192" width="9" style="13"/>
    <col min="8193" max="8193" width="28.109375" style="13" customWidth="1"/>
    <col min="8194" max="8194" width="10" style="13" customWidth="1"/>
    <col min="8195" max="8195" width="14.33203125" style="13" customWidth="1"/>
    <col min="8196" max="8196" width="8" style="13" customWidth="1"/>
    <col min="8197" max="8197" width="38" style="13" customWidth="1"/>
    <col min="8198" max="8198" width="48.109375" style="13" customWidth="1"/>
    <col min="8199" max="8448" width="9" style="13"/>
    <col min="8449" max="8449" width="28.109375" style="13" customWidth="1"/>
    <col min="8450" max="8450" width="10" style="13" customWidth="1"/>
    <col min="8451" max="8451" width="14.33203125" style="13" customWidth="1"/>
    <col min="8452" max="8452" width="8" style="13" customWidth="1"/>
    <col min="8453" max="8453" width="38" style="13" customWidth="1"/>
    <col min="8454" max="8454" width="48.109375" style="13" customWidth="1"/>
    <col min="8455" max="8704" width="9" style="13"/>
    <col min="8705" max="8705" width="28.109375" style="13" customWidth="1"/>
    <col min="8706" max="8706" width="10" style="13" customWidth="1"/>
    <col min="8707" max="8707" width="14.33203125" style="13" customWidth="1"/>
    <col min="8708" max="8708" width="8" style="13" customWidth="1"/>
    <col min="8709" max="8709" width="38" style="13" customWidth="1"/>
    <col min="8710" max="8710" width="48.109375" style="13" customWidth="1"/>
    <col min="8711" max="8960" width="9" style="13"/>
    <col min="8961" max="8961" width="28.109375" style="13" customWidth="1"/>
    <col min="8962" max="8962" width="10" style="13" customWidth="1"/>
    <col min="8963" max="8963" width="14.33203125" style="13" customWidth="1"/>
    <col min="8964" max="8964" width="8" style="13" customWidth="1"/>
    <col min="8965" max="8965" width="38" style="13" customWidth="1"/>
    <col min="8966" max="8966" width="48.109375" style="13" customWidth="1"/>
    <col min="8967" max="9216" width="9" style="13"/>
    <col min="9217" max="9217" width="28.109375" style="13" customWidth="1"/>
    <col min="9218" max="9218" width="10" style="13" customWidth="1"/>
    <col min="9219" max="9219" width="14.33203125" style="13" customWidth="1"/>
    <col min="9220" max="9220" width="8" style="13" customWidth="1"/>
    <col min="9221" max="9221" width="38" style="13" customWidth="1"/>
    <col min="9222" max="9222" width="48.109375" style="13" customWidth="1"/>
    <col min="9223" max="9472" width="9" style="13"/>
    <col min="9473" max="9473" width="28.109375" style="13" customWidth="1"/>
    <col min="9474" max="9474" width="10" style="13" customWidth="1"/>
    <col min="9475" max="9475" width="14.33203125" style="13" customWidth="1"/>
    <col min="9476" max="9476" width="8" style="13" customWidth="1"/>
    <col min="9477" max="9477" width="38" style="13" customWidth="1"/>
    <col min="9478" max="9478" width="48.109375" style="13" customWidth="1"/>
    <col min="9479" max="9728" width="9" style="13"/>
    <col min="9729" max="9729" width="28.109375" style="13" customWidth="1"/>
    <col min="9730" max="9730" width="10" style="13" customWidth="1"/>
    <col min="9731" max="9731" width="14.33203125" style="13" customWidth="1"/>
    <col min="9732" max="9732" width="8" style="13" customWidth="1"/>
    <col min="9733" max="9733" width="38" style="13" customWidth="1"/>
    <col min="9734" max="9734" width="48.109375" style="13" customWidth="1"/>
    <col min="9735" max="9984" width="9" style="13"/>
    <col min="9985" max="9985" width="28.109375" style="13" customWidth="1"/>
    <col min="9986" max="9986" width="10" style="13" customWidth="1"/>
    <col min="9987" max="9987" width="14.33203125" style="13" customWidth="1"/>
    <col min="9988" max="9988" width="8" style="13" customWidth="1"/>
    <col min="9989" max="9989" width="38" style="13" customWidth="1"/>
    <col min="9990" max="9990" width="48.109375" style="13" customWidth="1"/>
    <col min="9991" max="10240" width="9" style="13"/>
    <col min="10241" max="10241" width="28.109375" style="13" customWidth="1"/>
    <col min="10242" max="10242" width="10" style="13" customWidth="1"/>
    <col min="10243" max="10243" width="14.33203125" style="13" customWidth="1"/>
    <col min="10244" max="10244" width="8" style="13" customWidth="1"/>
    <col min="10245" max="10245" width="38" style="13" customWidth="1"/>
    <col min="10246" max="10246" width="48.109375" style="13" customWidth="1"/>
    <col min="10247" max="10496" width="9" style="13"/>
    <col min="10497" max="10497" width="28.109375" style="13" customWidth="1"/>
    <col min="10498" max="10498" width="10" style="13" customWidth="1"/>
    <col min="10499" max="10499" width="14.33203125" style="13" customWidth="1"/>
    <col min="10500" max="10500" width="8" style="13" customWidth="1"/>
    <col min="10501" max="10501" width="38" style="13" customWidth="1"/>
    <col min="10502" max="10502" width="48.109375" style="13" customWidth="1"/>
    <col min="10503" max="10752" width="9" style="13"/>
    <col min="10753" max="10753" width="28.109375" style="13" customWidth="1"/>
    <col min="10754" max="10754" width="10" style="13" customWidth="1"/>
    <col min="10755" max="10755" width="14.33203125" style="13" customWidth="1"/>
    <col min="10756" max="10756" width="8" style="13" customWidth="1"/>
    <col min="10757" max="10757" width="38" style="13" customWidth="1"/>
    <col min="10758" max="10758" width="48.109375" style="13" customWidth="1"/>
    <col min="10759" max="11008" width="9" style="13"/>
    <col min="11009" max="11009" width="28.109375" style="13" customWidth="1"/>
    <col min="11010" max="11010" width="10" style="13" customWidth="1"/>
    <col min="11011" max="11011" width="14.33203125" style="13" customWidth="1"/>
    <col min="11012" max="11012" width="8" style="13" customWidth="1"/>
    <col min="11013" max="11013" width="38" style="13" customWidth="1"/>
    <col min="11014" max="11014" width="48.109375" style="13" customWidth="1"/>
    <col min="11015" max="11264" width="9" style="13"/>
    <col min="11265" max="11265" width="28.109375" style="13" customWidth="1"/>
    <col min="11266" max="11266" width="10" style="13" customWidth="1"/>
    <col min="11267" max="11267" width="14.33203125" style="13" customWidth="1"/>
    <col min="11268" max="11268" width="8" style="13" customWidth="1"/>
    <col min="11269" max="11269" width="38" style="13" customWidth="1"/>
    <col min="11270" max="11270" width="48.109375" style="13" customWidth="1"/>
    <col min="11271" max="11520" width="9" style="13"/>
    <col min="11521" max="11521" width="28.109375" style="13" customWidth="1"/>
    <col min="11522" max="11522" width="10" style="13" customWidth="1"/>
    <col min="11523" max="11523" width="14.33203125" style="13" customWidth="1"/>
    <col min="11524" max="11524" width="8" style="13" customWidth="1"/>
    <col min="11525" max="11525" width="38" style="13" customWidth="1"/>
    <col min="11526" max="11526" width="48.109375" style="13" customWidth="1"/>
    <col min="11527" max="11776" width="9" style="13"/>
    <col min="11777" max="11777" width="28.109375" style="13" customWidth="1"/>
    <col min="11778" max="11778" width="10" style="13" customWidth="1"/>
    <col min="11779" max="11779" width="14.33203125" style="13" customWidth="1"/>
    <col min="11780" max="11780" width="8" style="13" customWidth="1"/>
    <col min="11781" max="11781" width="38" style="13" customWidth="1"/>
    <col min="11782" max="11782" width="48.109375" style="13" customWidth="1"/>
    <col min="11783" max="12032" width="9" style="13"/>
    <col min="12033" max="12033" width="28.109375" style="13" customWidth="1"/>
    <col min="12034" max="12034" width="10" style="13" customWidth="1"/>
    <col min="12035" max="12035" width="14.33203125" style="13" customWidth="1"/>
    <col min="12036" max="12036" width="8" style="13" customWidth="1"/>
    <col min="12037" max="12037" width="38" style="13" customWidth="1"/>
    <col min="12038" max="12038" width="48.109375" style="13" customWidth="1"/>
    <col min="12039" max="12288" width="9" style="13"/>
    <col min="12289" max="12289" width="28.109375" style="13" customWidth="1"/>
    <col min="12290" max="12290" width="10" style="13" customWidth="1"/>
    <col min="12291" max="12291" width="14.33203125" style="13" customWidth="1"/>
    <col min="12292" max="12292" width="8" style="13" customWidth="1"/>
    <col min="12293" max="12293" width="38" style="13" customWidth="1"/>
    <col min="12294" max="12294" width="48.109375" style="13" customWidth="1"/>
    <col min="12295" max="12544" width="9" style="13"/>
    <col min="12545" max="12545" width="28.109375" style="13" customWidth="1"/>
    <col min="12546" max="12546" width="10" style="13" customWidth="1"/>
    <col min="12547" max="12547" width="14.33203125" style="13" customWidth="1"/>
    <col min="12548" max="12548" width="8" style="13" customWidth="1"/>
    <col min="12549" max="12549" width="38" style="13" customWidth="1"/>
    <col min="12550" max="12550" width="48.109375" style="13" customWidth="1"/>
    <col min="12551" max="12800" width="9" style="13"/>
    <col min="12801" max="12801" width="28.109375" style="13" customWidth="1"/>
    <col min="12802" max="12802" width="10" style="13" customWidth="1"/>
    <col min="12803" max="12803" width="14.33203125" style="13" customWidth="1"/>
    <col min="12804" max="12804" width="8" style="13" customWidth="1"/>
    <col min="12805" max="12805" width="38" style="13" customWidth="1"/>
    <col min="12806" max="12806" width="48.109375" style="13" customWidth="1"/>
    <col min="12807" max="13056" width="9" style="13"/>
    <col min="13057" max="13057" width="28.109375" style="13" customWidth="1"/>
    <col min="13058" max="13058" width="10" style="13" customWidth="1"/>
    <col min="13059" max="13059" width="14.33203125" style="13" customWidth="1"/>
    <col min="13060" max="13060" width="8" style="13" customWidth="1"/>
    <col min="13061" max="13061" width="38" style="13" customWidth="1"/>
    <col min="13062" max="13062" width="48.109375" style="13" customWidth="1"/>
    <col min="13063" max="13312" width="9" style="13"/>
    <col min="13313" max="13313" width="28.109375" style="13" customWidth="1"/>
    <col min="13314" max="13314" width="10" style="13" customWidth="1"/>
    <col min="13315" max="13315" width="14.33203125" style="13" customWidth="1"/>
    <col min="13316" max="13316" width="8" style="13" customWidth="1"/>
    <col min="13317" max="13317" width="38" style="13" customWidth="1"/>
    <col min="13318" max="13318" width="48.109375" style="13" customWidth="1"/>
    <col min="13319" max="13568" width="9" style="13"/>
    <col min="13569" max="13569" width="28.109375" style="13" customWidth="1"/>
    <col min="13570" max="13570" width="10" style="13" customWidth="1"/>
    <col min="13571" max="13571" width="14.33203125" style="13" customWidth="1"/>
    <col min="13572" max="13572" width="8" style="13" customWidth="1"/>
    <col min="13573" max="13573" width="38" style="13" customWidth="1"/>
    <col min="13574" max="13574" width="48.109375" style="13" customWidth="1"/>
    <col min="13575" max="13824" width="9" style="13"/>
    <col min="13825" max="13825" width="28.109375" style="13" customWidth="1"/>
    <col min="13826" max="13826" width="10" style="13" customWidth="1"/>
    <col min="13827" max="13827" width="14.33203125" style="13" customWidth="1"/>
    <col min="13828" max="13828" width="8" style="13" customWidth="1"/>
    <col min="13829" max="13829" width="38" style="13" customWidth="1"/>
    <col min="13830" max="13830" width="48.109375" style="13" customWidth="1"/>
    <col min="13831" max="14080" width="9" style="13"/>
    <col min="14081" max="14081" width="28.109375" style="13" customWidth="1"/>
    <col min="14082" max="14082" width="10" style="13" customWidth="1"/>
    <col min="14083" max="14083" width="14.33203125" style="13" customWidth="1"/>
    <col min="14084" max="14084" width="8" style="13" customWidth="1"/>
    <col min="14085" max="14085" width="38" style="13" customWidth="1"/>
    <col min="14086" max="14086" width="48.109375" style="13" customWidth="1"/>
    <col min="14087" max="14336" width="9" style="13"/>
    <col min="14337" max="14337" width="28.109375" style="13" customWidth="1"/>
    <col min="14338" max="14338" width="10" style="13" customWidth="1"/>
    <col min="14339" max="14339" width="14.33203125" style="13" customWidth="1"/>
    <col min="14340" max="14340" width="8" style="13" customWidth="1"/>
    <col min="14341" max="14341" width="38" style="13" customWidth="1"/>
    <col min="14342" max="14342" width="48.109375" style="13" customWidth="1"/>
    <col min="14343" max="14592" width="9" style="13"/>
    <col min="14593" max="14593" width="28.109375" style="13" customWidth="1"/>
    <col min="14594" max="14594" width="10" style="13" customWidth="1"/>
    <col min="14595" max="14595" width="14.33203125" style="13" customWidth="1"/>
    <col min="14596" max="14596" width="8" style="13" customWidth="1"/>
    <col min="14597" max="14597" width="38" style="13" customWidth="1"/>
    <col min="14598" max="14598" width="48.109375" style="13" customWidth="1"/>
    <col min="14599" max="14848" width="9" style="13"/>
    <col min="14849" max="14849" width="28.109375" style="13" customWidth="1"/>
    <col min="14850" max="14850" width="10" style="13" customWidth="1"/>
    <col min="14851" max="14851" width="14.33203125" style="13" customWidth="1"/>
    <col min="14852" max="14852" width="8" style="13" customWidth="1"/>
    <col min="14853" max="14853" width="38" style="13" customWidth="1"/>
    <col min="14854" max="14854" width="48.109375" style="13" customWidth="1"/>
    <col min="14855" max="15104" width="9" style="13"/>
    <col min="15105" max="15105" width="28.109375" style="13" customWidth="1"/>
    <col min="15106" max="15106" width="10" style="13" customWidth="1"/>
    <col min="15107" max="15107" width="14.33203125" style="13" customWidth="1"/>
    <col min="15108" max="15108" width="8" style="13" customWidth="1"/>
    <col min="15109" max="15109" width="38" style="13" customWidth="1"/>
    <col min="15110" max="15110" width="48.109375" style="13" customWidth="1"/>
    <col min="15111" max="15360" width="9" style="13"/>
    <col min="15361" max="15361" width="28.109375" style="13" customWidth="1"/>
    <col min="15362" max="15362" width="10" style="13" customWidth="1"/>
    <col min="15363" max="15363" width="14.33203125" style="13" customWidth="1"/>
    <col min="15364" max="15364" width="8" style="13" customWidth="1"/>
    <col min="15365" max="15365" width="38" style="13" customWidth="1"/>
    <col min="15366" max="15366" width="48.109375" style="13" customWidth="1"/>
    <col min="15367" max="15616" width="9" style="13"/>
    <col min="15617" max="15617" width="28.109375" style="13" customWidth="1"/>
    <col min="15618" max="15618" width="10" style="13" customWidth="1"/>
    <col min="15619" max="15619" width="14.33203125" style="13" customWidth="1"/>
    <col min="15620" max="15620" width="8" style="13" customWidth="1"/>
    <col min="15621" max="15621" width="38" style="13" customWidth="1"/>
    <col min="15622" max="15622" width="48.109375" style="13" customWidth="1"/>
    <col min="15623" max="15872" width="9" style="13"/>
    <col min="15873" max="15873" width="28.109375" style="13" customWidth="1"/>
    <col min="15874" max="15874" width="10" style="13" customWidth="1"/>
    <col min="15875" max="15875" width="14.33203125" style="13" customWidth="1"/>
    <col min="15876" max="15876" width="8" style="13" customWidth="1"/>
    <col min="15877" max="15877" width="38" style="13" customWidth="1"/>
    <col min="15878" max="15878" width="48.109375" style="13" customWidth="1"/>
    <col min="15879" max="16128" width="9" style="13"/>
    <col min="16129" max="16129" width="28.109375" style="13" customWidth="1"/>
    <col min="16130" max="16130" width="10" style="13" customWidth="1"/>
    <col min="16131" max="16131" width="14.33203125" style="13" customWidth="1"/>
    <col min="16132" max="16132" width="8" style="13" customWidth="1"/>
    <col min="16133" max="16133" width="38" style="13" customWidth="1"/>
    <col min="16134" max="16134" width="48.109375" style="13" customWidth="1"/>
    <col min="16135" max="16384" width="9" style="13"/>
  </cols>
  <sheetData>
    <row r="2" spans="1:6" s="15" customFormat="1" ht="75.75" customHeight="1">
      <c r="A2" s="14"/>
      <c r="B2" s="11" t="s">
        <v>0</v>
      </c>
      <c r="C2" s="11"/>
      <c r="D2" s="11"/>
      <c r="E2" s="11"/>
      <c r="F2" s="11"/>
    </row>
    <row r="3" spans="1:6" ht="12.75" customHeight="1">
      <c r="A3" s="16"/>
      <c r="B3" s="17"/>
      <c r="E3" s="18"/>
    </row>
    <row r="4" spans="1:6" ht="14.25" customHeight="1">
      <c r="A4" s="19" t="s">
        <v>1</v>
      </c>
      <c r="B4" s="10" t="s">
        <v>140</v>
      </c>
      <c r="C4" s="10"/>
      <c r="D4" s="10"/>
      <c r="E4" s="19" t="s">
        <v>139</v>
      </c>
      <c r="F4" s="20"/>
    </row>
    <row r="5" spans="1:6" ht="14.25" customHeight="1">
      <c r="A5" s="19" t="s">
        <v>2</v>
      </c>
      <c r="B5" s="10" t="s">
        <v>140</v>
      </c>
      <c r="C5" s="10"/>
      <c r="D5" s="10"/>
      <c r="E5" s="19" t="s">
        <v>3</v>
      </c>
      <c r="F5" s="21">
        <v>46120</v>
      </c>
    </row>
    <row r="6" spans="1:6" ht="15.75" customHeight="1">
      <c r="A6" s="22" t="s">
        <v>4</v>
      </c>
      <c r="B6" s="9" t="str">
        <f>B5&amp;"_"&amp;"XXX"&amp;"_"&amp;"vx.x"</f>
        <v>PentaPlex_XXX_vx.x</v>
      </c>
      <c r="C6" s="9"/>
      <c r="D6" s="9"/>
      <c r="E6" s="19" t="s">
        <v>5</v>
      </c>
      <c r="F6" s="23"/>
    </row>
    <row r="7" spans="1:6" ht="12.75" customHeight="1">
      <c r="A7" s="24"/>
      <c r="B7" s="25"/>
      <c r="E7" s="26"/>
      <c r="F7" s="17"/>
    </row>
    <row r="8" spans="1:6" ht="12.75" customHeight="1">
      <c r="A8" s="13"/>
    </row>
    <row r="9" spans="1:6" ht="12.75" customHeight="1">
      <c r="A9" s="27" t="s">
        <v>6</v>
      </c>
    </row>
    <row r="10" spans="1:6" s="31" customFormat="1" ht="12.75" customHeight="1">
      <c r="A10" s="28" t="s">
        <v>7</v>
      </c>
      <c r="B10" s="29" t="s">
        <v>8</v>
      </c>
      <c r="C10" s="29" t="s">
        <v>9</v>
      </c>
      <c r="D10" s="29" t="s">
        <v>10</v>
      </c>
      <c r="E10" s="29" t="s">
        <v>11</v>
      </c>
      <c r="F10" s="30" t="s">
        <v>12</v>
      </c>
    </row>
    <row r="11" spans="1:6" s="36" customFormat="1" ht="26.25" customHeight="1">
      <c r="A11" s="32">
        <v>46211</v>
      </c>
      <c r="B11" s="33" t="s">
        <v>5</v>
      </c>
      <c r="C11" s="153" t="s">
        <v>13</v>
      </c>
      <c r="D11" s="34" t="s">
        <v>14</v>
      </c>
      <c r="E11" s="154" t="s">
        <v>15</v>
      </c>
      <c r="F11" s="35" t="s">
        <v>16</v>
      </c>
    </row>
    <row r="12" spans="1:6" s="36" customFormat="1" ht="21.75" customHeight="1">
      <c r="A12" s="37"/>
      <c r="B12" s="33"/>
      <c r="C12" s="34"/>
      <c r="D12" s="34"/>
      <c r="E12" s="34"/>
      <c r="F12" s="38"/>
    </row>
    <row r="13" spans="1:6" s="36" customFormat="1" ht="19.5" customHeight="1">
      <c r="A13" s="37"/>
      <c r="B13" s="33"/>
      <c r="C13" s="34"/>
      <c r="D13" s="34"/>
      <c r="E13" s="34"/>
      <c r="F13" s="38"/>
    </row>
    <row r="14" spans="1:6" s="36" customFormat="1" ht="21.75" customHeight="1">
      <c r="A14" s="37"/>
      <c r="B14" s="33"/>
      <c r="C14" s="34"/>
      <c r="D14" s="34"/>
      <c r="E14" s="34"/>
      <c r="F14" s="38"/>
    </row>
    <row r="15" spans="1:6" s="36" customFormat="1" ht="19.5" customHeight="1">
      <c r="A15" s="37"/>
      <c r="B15" s="33"/>
      <c r="C15" s="34"/>
      <c r="D15" s="34"/>
      <c r="E15" s="34"/>
      <c r="F15" s="38"/>
    </row>
    <row r="16" spans="1:6" s="36" customFormat="1" ht="21.75" customHeight="1">
      <c r="A16" s="37"/>
      <c r="B16" s="33"/>
      <c r="C16" s="34"/>
      <c r="D16" s="34"/>
      <c r="E16" s="34"/>
      <c r="F16" s="38"/>
    </row>
    <row r="17" spans="1:6" s="36" customFormat="1" ht="19.5" customHeight="1">
      <c r="A17" s="39"/>
      <c r="B17" s="40"/>
      <c r="C17" s="41"/>
      <c r="D17" s="41"/>
      <c r="E17" s="41"/>
      <c r="F17" s="42"/>
    </row>
  </sheetData>
  <mergeCells count="4">
    <mergeCell ref="B2:F2"/>
    <mergeCell ref="B4:D4"/>
    <mergeCell ref="B5:D5"/>
    <mergeCell ref="B6:D6"/>
  </mergeCells>
  <pageMargins left="0.47013888888888899" right="0.47013888888888899" top="0.5" bottom="0.35138888888888897" header="0.511811023622047" footer="0.17013888888888901"/>
  <pageSetup paperSize="9" orientation="landscape" horizontalDpi="300" verticalDpi="300"/>
  <headerFooter>
    <oddFooter>&amp;L&amp;"Tahoma,Regular"&amp;8 02ae-BM/PM/HDCV/FSOFT v2/1&amp;C&amp;"Tahoma,Regular"&amp;8 Internal use&amp;R&amp;"tahomaTahoma,Regular"&amp;8 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topLeftCell="A6" zoomScaleNormal="100" workbookViewId="0">
      <selection activeCell="E10" sqref="E10"/>
    </sheetView>
  </sheetViews>
  <sheetFormatPr defaultColWidth="9" defaultRowHeight="13.2"/>
  <cols>
    <col min="1" max="1" width="1.33203125" style="18" customWidth="1"/>
    <col min="2" max="2" width="6.44140625" style="43" customWidth="1"/>
    <col min="3" max="3" width="26.44140625" style="44" customWidth="1"/>
    <col min="4" max="4" width="21.109375" style="44" customWidth="1"/>
    <col min="5" max="5" width="36.88671875" style="44" customWidth="1"/>
    <col min="6" max="6" width="30.6640625" style="44" customWidth="1"/>
    <col min="7" max="16384" width="9" style="18"/>
  </cols>
  <sheetData>
    <row r="1" spans="2:6" ht="24" customHeight="1">
      <c r="B1" s="45"/>
      <c r="D1" s="46" t="s">
        <v>17</v>
      </c>
      <c r="E1" s="47"/>
    </row>
    <row r="2" spans="2:6" ht="13.5" customHeight="1">
      <c r="B2" s="45"/>
      <c r="D2" s="48"/>
      <c r="E2" s="48"/>
    </row>
    <row r="3" spans="2:6" ht="12.75" customHeight="1">
      <c r="B3" s="8" t="s">
        <v>1</v>
      </c>
      <c r="C3" s="8"/>
      <c r="D3" s="7" t="str">
        <f>Cover!B4</f>
        <v>PentaPlex</v>
      </c>
      <c r="E3" s="7"/>
      <c r="F3" s="7"/>
    </row>
    <row r="4" spans="2:6" ht="12.75" customHeight="1">
      <c r="B4" s="8" t="s">
        <v>2</v>
      </c>
      <c r="C4" s="8"/>
      <c r="D4" s="7" t="str">
        <f>Cover!B5</f>
        <v>PentaPlex</v>
      </c>
      <c r="E4" s="7"/>
      <c r="F4" s="7"/>
    </row>
    <row r="5" spans="2:6" s="49" customFormat="1" ht="84.75" customHeight="1">
      <c r="B5" s="6" t="s">
        <v>18</v>
      </c>
      <c r="C5" s="6"/>
      <c r="D5" s="5" t="s">
        <v>141</v>
      </c>
      <c r="E5" s="5"/>
      <c r="F5" s="5"/>
    </row>
    <row r="6" spans="2:6" ht="12.75" customHeight="1">
      <c r="B6" s="51"/>
      <c r="C6" s="18"/>
      <c r="D6" s="18"/>
      <c r="E6" s="18"/>
      <c r="F6" s="18"/>
    </row>
    <row r="7" spans="2:6" s="52" customFormat="1" ht="12.75" customHeight="1">
      <c r="B7" s="53"/>
      <c r="C7" s="54"/>
      <c r="D7" s="54"/>
      <c r="E7" s="54"/>
      <c r="F7" s="54"/>
    </row>
    <row r="8" spans="2:6" s="55" customFormat="1" ht="21" customHeight="1">
      <c r="B8" s="56" t="s">
        <v>19</v>
      </c>
      <c r="C8" s="57" t="s">
        <v>20</v>
      </c>
      <c r="D8" s="57" t="s">
        <v>21</v>
      </c>
      <c r="E8" s="58" t="s">
        <v>22</v>
      </c>
      <c r="F8" s="59" t="s">
        <v>23</v>
      </c>
    </row>
    <row r="9" spans="2:6" ht="82.2" customHeight="1">
      <c r="B9" s="60">
        <v>1</v>
      </c>
      <c r="C9" s="61" t="s">
        <v>24</v>
      </c>
      <c r="D9" s="150" t="s">
        <v>25</v>
      </c>
      <c r="E9" s="151" t="s">
        <v>26</v>
      </c>
      <c r="F9" s="152" t="s">
        <v>27</v>
      </c>
    </row>
    <row r="10" spans="2:6" ht="14.25" customHeight="1">
      <c r="B10" s="60"/>
      <c r="C10" s="61"/>
      <c r="D10" s="62"/>
      <c r="E10" s="63"/>
      <c r="F10" s="64"/>
    </row>
    <row r="11" spans="2:6" ht="14.25" customHeight="1">
      <c r="B11" s="60"/>
      <c r="C11" s="61"/>
      <c r="D11" s="62"/>
      <c r="E11" s="63"/>
      <c r="F11" s="64"/>
    </row>
    <row r="12" spans="2:6" ht="14.25" customHeight="1">
      <c r="B12" s="60"/>
      <c r="C12" s="61"/>
      <c r="D12" s="62"/>
      <c r="E12" s="63"/>
      <c r="F12" s="64"/>
    </row>
    <row r="13" spans="2:6" ht="14.25" customHeight="1">
      <c r="B13" s="60"/>
      <c r="C13" s="61"/>
      <c r="D13" s="62"/>
      <c r="E13" s="63"/>
      <c r="F13" s="64"/>
    </row>
    <row r="14" spans="2:6" ht="12.75" customHeight="1">
      <c r="B14" s="60"/>
      <c r="C14" s="61"/>
      <c r="D14" s="65"/>
      <c r="E14" s="65"/>
      <c r="F14" s="64"/>
    </row>
    <row r="15" spans="2:6" ht="12.75" customHeight="1">
      <c r="B15" s="60"/>
      <c r="C15" s="61"/>
      <c r="D15" s="65"/>
      <c r="E15" s="65"/>
      <c r="F15" s="64"/>
    </row>
    <row r="16" spans="2:6" ht="12.75" customHeight="1">
      <c r="B16" s="60"/>
      <c r="C16" s="61"/>
      <c r="D16" s="65"/>
      <c r="E16" s="65"/>
      <c r="F16" s="64"/>
    </row>
    <row r="17" spans="2:6" ht="12.75" customHeight="1">
      <c r="B17" s="60"/>
      <c r="C17" s="61"/>
      <c r="D17" s="65"/>
      <c r="E17" s="65"/>
      <c r="F17" s="64"/>
    </row>
    <row r="18" spans="2:6" ht="12.75" customHeight="1">
      <c r="B18" s="60"/>
      <c r="C18" s="61"/>
      <c r="D18" s="65"/>
      <c r="E18" s="65"/>
      <c r="F18" s="64"/>
    </row>
    <row r="19" spans="2:6" ht="12.75" customHeight="1">
      <c r="B19" s="60"/>
      <c r="C19" s="61"/>
      <c r="D19" s="65"/>
      <c r="E19" s="65"/>
      <c r="F19" s="64"/>
    </row>
    <row r="20" spans="2:6" ht="12.75" customHeight="1">
      <c r="B20" s="60"/>
      <c r="C20" s="61"/>
      <c r="D20" s="65"/>
      <c r="E20" s="65"/>
      <c r="F20" s="64"/>
    </row>
    <row r="21" spans="2:6" ht="12.75" customHeight="1">
      <c r="B21" s="66"/>
      <c r="C21" s="67"/>
      <c r="D21" s="68"/>
      <c r="E21" s="68"/>
      <c r="F21" s="69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Register-DecisionTable'!A1" display="Register-DecisionTable" xr:uid="{00000000-0004-0000-0100-000000000000}"/>
  </hyperlinks>
  <pageMargins left="0.74791666666666701" right="0.74791666666666701" top="0.98402777777777795" bottom="1.15069444444444" header="0.511811023622047" footer="0.98402777777777795"/>
  <pageSetup paperSize="9"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"/>
    </sheetView>
  </sheetViews>
  <sheetFormatPr defaultColWidth="8.5546875" defaultRowHeight="13.2"/>
  <cols>
    <col min="1" max="1" width="4" customWidth="1"/>
    <col min="2" max="2" width="42" customWidth="1"/>
    <col min="3" max="10" width="20" customWidth="1"/>
  </cols>
  <sheetData>
    <row r="1" spans="1:10" ht="17.25" customHeight="1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</row>
    <row r="2" spans="1:10" ht="30" customHeight="1">
      <c r="A2" s="3" t="s">
        <v>29</v>
      </c>
      <c r="B2" s="3"/>
      <c r="C2" s="3"/>
      <c r="D2" s="3"/>
      <c r="E2" s="3"/>
      <c r="F2" s="3"/>
      <c r="G2" s="3"/>
      <c r="H2" s="3"/>
      <c r="I2" s="3"/>
      <c r="J2" s="3"/>
    </row>
    <row r="3" spans="1:10" ht="15" customHeight="1">
      <c r="A3" s="71"/>
      <c r="B3" s="71"/>
      <c r="C3" s="71"/>
      <c r="D3" s="71"/>
      <c r="E3" s="71"/>
      <c r="F3" s="71"/>
      <c r="G3" s="71"/>
      <c r="H3" s="71"/>
      <c r="I3" s="71"/>
      <c r="J3" s="71"/>
    </row>
    <row r="4" spans="1:10" ht="30" customHeight="1">
      <c r="A4" s="72" t="s">
        <v>30</v>
      </c>
      <c r="B4" s="73" t="s">
        <v>31</v>
      </c>
      <c r="C4" s="74" t="s">
        <v>32</v>
      </c>
      <c r="D4" s="74" t="s">
        <v>33</v>
      </c>
      <c r="E4" s="74" t="s">
        <v>34</v>
      </c>
      <c r="F4" s="74" t="s">
        <v>35</v>
      </c>
      <c r="G4" s="74" t="s">
        <v>36</v>
      </c>
      <c r="H4" s="74" t="s">
        <v>37</v>
      </c>
      <c r="I4" s="74" t="s">
        <v>38</v>
      </c>
      <c r="J4" s="74" t="s">
        <v>39</v>
      </c>
    </row>
    <row r="5" spans="1:10" ht="30" customHeight="1">
      <c r="A5" s="75" t="s">
        <v>40</v>
      </c>
      <c r="B5" s="76" t="s">
        <v>41</v>
      </c>
      <c r="C5" s="77" t="s">
        <v>42</v>
      </c>
      <c r="D5" s="78" t="s">
        <v>43</v>
      </c>
      <c r="E5" s="78" t="s">
        <v>43</v>
      </c>
      <c r="F5" s="78" t="s">
        <v>43</v>
      </c>
      <c r="G5" s="78" t="s">
        <v>43</v>
      </c>
      <c r="H5" s="78" t="s">
        <v>43</v>
      </c>
      <c r="I5" s="78" t="s">
        <v>43</v>
      </c>
      <c r="J5" s="78" t="s">
        <v>43</v>
      </c>
    </row>
    <row r="6" spans="1:10" ht="30" customHeight="1">
      <c r="A6" s="75" t="s">
        <v>44</v>
      </c>
      <c r="B6" s="76" t="s">
        <v>45</v>
      </c>
      <c r="C6" s="79" t="s">
        <v>46</v>
      </c>
      <c r="D6" s="77" t="s">
        <v>42</v>
      </c>
      <c r="E6" s="78" t="s">
        <v>43</v>
      </c>
      <c r="F6" s="78" t="s">
        <v>43</v>
      </c>
      <c r="G6" s="78" t="s">
        <v>43</v>
      </c>
      <c r="H6" s="78" t="s">
        <v>43</v>
      </c>
      <c r="I6" s="78" t="s">
        <v>43</v>
      </c>
      <c r="J6" s="78" t="s">
        <v>43</v>
      </c>
    </row>
    <row r="7" spans="1:10" ht="30" customHeight="1">
      <c r="A7" s="75" t="s">
        <v>47</v>
      </c>
      <c r="B7" s="76" t="s">
        <v>48</v>
      </c>
      <c r="C7" s="79" t="s">
        <v>46</v>
      </c>
      <c r="D7" s="79" t="s">
        <v>46</v>
      </c>
      <c r="E7" s="77" t="s">
        <v>42</v>
      </c>
      <c r="F7" s="78" t="s">
        <v>43</v>
      </c>
      <c r="G7" s="78" t="s">
        <v>43</v>
      </c>
      <c r="H7" s="78" t="s">
        <v>43</v>
      </c>
      <c r="I7" s="78" t="s">
        <v>43</v>
      </c>
      <c r="J7" s="78" t="s">
        <v>43</v>
      </c>
    </row>
    <row r="8" spans="1:10" ht="30" customHeight="1">
      <c r="A8" s="75" t="s">
        <v>49</v>
      </c>
      <c r="B8" s="76" t="s">
        <v>50</v>
      </c>
      <c r="C8" s="79" t="s">
        <v>46</v>
      </c>
      <c r="D8" s="79" t="s">
        <v>46</v>
      </c>
      <c r="E8" s="79" t="s">
        <v>46</v>
      </c>
      <c r="F8" s="77" t="s">
        <v>42</v>
      </c>
      <c r="G8" s="78" t="s">
        <v>43</v>
      </c>
      <c r="H8" s="78" t="s">
        <v>43</v>
      </c>
      <c r="I8" s="78" t="s">
        <v>43</v>
      </c>
      <c r="J8" s="78" t="s">
        <v>43</v>
      </c>
    </row>
    <row r="9" spans="1:10" ht="30" customHeight="1">
      <c r="A9" s="75" t="s">
        <v>51</v>
      </c>
      <c r="B9" s="76" t="s">
        <v>52</v>
      </c>
      <c r="C9" s="79" t="s">
        <v>46</v>
      </c>
      <c r="D9" s="79" t="s">
        <v>46</v>
      </c>
      <c r="E9" s="79" t="s">
        <v>46</v>
      </c>
      <c r="F9" s="79" t="s">
        <v>46</v>
      </c>
      <c r="G9" s="77" t="s">
        <v>42</v>
      </c>
      <c r="H9" s="78" t="s">
        <v>43</v>
      </c>
      <c r="I9" s="78" t="s">
        <v>43</v>
      </c>
      <c r="J9" s="78" t="s">
        <v>43</v>
      </c>
    </row>
    <row r="10" spans="1:10" ht="30" customHeight="1">
      <c r="A10" s="75" t="s">
        <v>53</v>
      </c>
      <c r="B10" s="76" t="s">
        <v>54</v>
      </c>
      <c r="C10" s="79" t="s">
        <v>46</v>
      </c>
      <c r="D10" s="79" t="s">
        <v>46</v>
      </c>
      <c r="E10" s="79" t="s">
        <v>46</v>
      </c>
      <c r="F10" s="79" t="s">
        <v>46</v>
      </c>
      <c r="G10" s="79" t="s">
        <v>46</v>
      </c>
      <c r="H10" s="77" t="s">
        <v>42</v>
      </c>
      <c r="I10" s="78" t="s">
        <v>43</v>
      </c>
      <c r="J10" s="78" t="s">
        <v>43</v>
      </c>
    </row>
    <row r="11" spans="1:10" ht="60" customHeight="1">
      <c r="A11" s="80" t="s">
        <v>55</v>
      </c>
      <c r="B11" s="80" t="s">
        <v>56</v>
      </c>
      <c r="C11" s="81" t="s">
        <v>46</v>
      </c>
      <c r="D11" s="81" t="s">
        <v>46</v>
      </c>
      <c r="E11" s="81" t="s">
        <v>46</v>
      </c>
      <c r="F11" s="81" t="s">
        <v>46</v>
      </c>
      <c r="G11" s="81" t="s">
        <v>46</v>
      </c>
      <c r="H11" s="81" t="s">
        <v>46</v>
      </c>
      <c r="I11" s="81" t="s">
        <v>42</v>
      </c>
      <c r="J11" s="82" t="s">
        <v>43</v>
      </c>
    </row>
    <row r="12" spans="1:10" ht="60" customHeight="1">
      <c r="A12" s="83" t="s">
        <v>14</v>
      </c>
      <c r="B12" s="83" t="s">
        <v>57</v>
      </c>
      <c r="C12" s="83" t="s">
        <v>58</v>
      </c>
      <c r="D12" s="83" t="s">
        <v>59</v>
      </c>
      <c r="E12" s="83" t="s">
        <v>60</v>
      </c>
      <c r="F12" s="83" t="s">
        <v>61</v>
      </c>
      <c r="G12" s="83" t="s">
        <v>62</v>
      </c>
      <c r="H12" s="83" t="s">
        <v>63</v>
      </c>
      <c r="I12" s="83" t="s">
        <v>64</v>
      </c>
      <c r="J12" s="84" t="s">
        <v>65</v>
      </c>
    </row>
    <row r="13" spans="1:10" ht="1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</row>
    <row r="14" spans="1:10" ht="15" customHeight="1">
      <c r="A14" s="70" t="s">
        <v>66</v>
      </c>
      <c r="B14" s="70"/>
      <c r="C14" s="70" t="s">
        <v>67</v>
      </c>
      <c r="D14" s="70" t="s">
        <v>68</v>
      </c>
      <c r="E14" s="70" t="s">
        <v>69</v>
      </c>
      <c r="F14" s="70" t="s">
        <v>70</v>
      </c>
      <c r="G14" s="70" t="s">
        <v>71</v>
      </c>
      <c r="H14" s="70" t="s">
        <v>72</v>
      </c>
      <c r="I14" s="70" t="s">
        <v>73</v>
      </c>
      <c r="J14" s="70" t="s">
        <v>74</v>
      </c>
    </row>
    <row r="15" spans="1:10" ht="30" customHeight="1">
      <c r="A15" s="70" t="s">
        <v>75</v>
      </c>
      <c r="B15" s="3" t="s">
        <v>76</v>
      </c>
      <c r="C15" s="3"/>
      <c r="D15" s="3"/>
      <c r="E15" s="3"/>
      <c r="F15" s="3"/>
      <c r="G15" s="3"/>
      <c r="H15" s="3"/>
      <c r="I15" s="3"/>
      <c r="J15" s="3"/>
    </row>
  </sheetData>
  <mergeCells count="3">
    <mergeCell ref="A1:J1"/>
    <mergeCell ref="A2:J2"/>
    <mergeCell ref="B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zoomScaleNormal="100" workbookViewId="0">
      <selection activeCell="G10" sqref="G10"/>
    </sheetView>
  </sheetViews>
  <sheetFormatPr defaultColWidth="9" defaultRowHeight="13.2"/>
  <cols>
    <col min="1" max="1" width="4.44140625" style="18" customWidth="1"/>
    <col min="2" max="2" width="18.33203125" style="18" customWidth="1"/>
    <col min="3" max="3" width="19.33203125" style="18" customWidth="1"/>
    <col min="4" max="6" width="11.6640625" style="18" customWidth="1"/>
    <col min="7" max="7" width="18.77734375" style="18" customWidth="1"/>
    <col min="8" max="8" width="35.44140625" style="18" customWidth="1"/>
    <col min="9" max="9" width="33.109375" style="18" customWidth="1"/>
    <col min="10" max="16384" width="9" style="18"/>
  </cols>
  <sheetData>
    <row r="1" spans="1:8" ht="25.5" customHeight="1">
      <c r="B1" s="2" t="s">
        <v>77</v>
      </c>
      <c r="C1" s="2"/>
      <c r="D1" s="2"/>
      <c r="E1" s="2"/>
      <c r="F1" s="2"/>
      <c r="G1" s="2"/>
      <c r="H1" s="2"/>
    </row>
    <row r="2" spans="1:8" ht="14.25" customHeight="1">
      <c r="A2" s="85"/>
      <c r="B2" s="85"/>
      <c r="H2" s="86"/>
    </row>
    <row r="3" spans="1:8" ht="12" customHeight="1">
      <c r="B3" s="87" t="s">
        <v>1</v>
      </c>
      <c r="C3" s="7" t="str">
        <f>Cover!B4</f>
        <v>PentaPlex</v>
      </c>
      <c r="D3" s="7"/>
      <c r="E3" s="157" t="s">
        <v>142</v>
      </c>
      <c r="F3" s="156"/>
      <c r="G3" s="155" t="s">
        <v>139</v>
      </c>
      <c r="H3" s="155"/>
    </row>
    <row r="4" spans="1:8" ht="12" customHeight="1">
      <c r="B4" s="87" t="s">
        <v>2</v>
      </c>
      <c r="C4" s="7" t="str">
        <f>Cover!B5</f>
        <v>PentaPlex</v>
      </c>
      <c r="D4" s="7"/>
      <c r="E4" s="157" t="s">
        <v>143</v>
      </c>
      <c r="F4" s="156"/>
      <c r="G4" s="155" t="s">
        <v>144</v>
      </c>
      <c r="H4" s="89"/>
    </row>
    <row r="5" spans="1:8" ht="12" customHeight="1">
      <c r="B5" s="90" t="s">
        <v>4</v>
      </c>
      <c r="C5" s="7" t="str">
        <f>C4&amp;"_"&amp;"Test Report"&amp;"_"&amp;"vx.x"</f>
        <v>PentaPlex_Test Report_vx.x</v>
      </c>
      <c r="D5" s="7"/>
      <c r="E5" s="157" t="s">
        <v>3</v>
      </c>
      <c r="F5" s="156"/>
      <c r="G5" s="88"/>
      <c r="H5" s="91">
        <v>46211</v>
      </c>
    </row>
    <row r="6" spans="1:8" ht="21.75" customHeight="1">
      <c r="A6" s="85"/>
      <c r="B6" s="90" t="s">
        <v>78</v>
      </c>
      <c r="C6" s="1" t="s">
        <v>79</v>
      </c>
      <c r="D6" s="1"/>
      <c r="E6" s="1"/>
      <c r="F6" s="1"/>
      <c r="G6" s="1"/>
      <c r="H6" s="1"/>
    </row>
    <row r="7" spans="1:8" ht="14.25" customHeight="1">
      <c r="A7" s="85"/>
      <c r="B7" s="92"/>
      <c r="C7" s="93"/>
      <c r="H7" s="86"/>
    </row>
    <row r="8" spans="1:8" ht="12.75" customHeight="1">
      <c r="B8" s="92"/>
      <c r="C8" s="93"/>
      <c r="H8" s="86"/>
    </row>
    <row r="10" spans="1:8" ht="12.75" customHeight="1">
      <c r="A10" s="94"/>
      <c r="B10" s="95" t="s">
        <v>19</v>
      </c>
      <c r="C10" s="96" t="s">
        <v>80</v>
      </c>
      <c r="D10" s="97" t="s">
        <v>81</v>
      </c>
      <c r="E10" s="96" t="s">
        <v>82</v>
      </c>
      <c r="F10" s="96" t="s">
        <v>83</v>
      </c>
      <c r="G10" s="98" t="s">
        <v>84</v>
      </c>
      <c r="H10" s="99" t="s">
        <v>85</v>
      </c>
    </row>
    <row r="11" spans="1:8" ht="12.75" customHeight="1">
      <c r="A11" s="94"/>
      <c r="B11" s="100">
        <v>1</v>
      </c>
      <c r="C11" s="101" t="str">
        <f>'Register-DecisionTable'!B2</f>
        <v>Register - Decision Table Testing</v>
      </c>
      <c r="D11" s="102">
        <f>'Register-DecisionTable'!B6</f>
        <v>0</v>
      </c>
      <c r="E11" s="102">
        <f>'Register-DecisionTable'!C6</f>
        <v>0</v>
      </c>
      <c r="F11" s="102">
        <f>'Register-DecisionTable'!D6</f>
        <v>9</v>
      </c>
      <c r="G11" s="102">
        <f>'Register-DecisionTable'!E6</f>
        <v>0</v>
      </c>
      <c r="H11" s="103">
        <f>'Register-DecisionTable'!B4</f>
        <v>9</v>
      </c>
    </row>
    <row r="12" spans="1:8" ht="12.75" customHeight="1">
      <c r="A12" s="94"/>
      <c r="B12" s="100"/>
      <c r="C12" s="101"/>
      <c r="D12" s="102"/>
      <c r="E12" s="102"/>
      <c r="F12" s="102"/>
      <c r="G12" s="102"/>
      <c r="H12" s="102"/>
    </row>
    <row r="13" spans="1:8" ht="12.75" customHeight="1">
      <c r="A13" s="94"/>
      <c r="B13" s="100"/>
      <c r="C13" s="101"/>
      <c r="D13" s="102"/>
      <c r="E13" s="102"/>
      <c r="F13" s="102"/>
      <c r="G13" s="104"/>
      <c r="H13" s="103"/>
    </row>
    <row r="14" spans="1:8" ht="12.75" customHeight="1">
      <c r="A14" s="94"/>
      <c r="B14" s="105"/>
      <c r="C14" s="106" t="s">
        <v>86</v>
      </c>
      <c r="D14" s="107">
        <f>SUM(D11:D11)</f>
        <v>0</v>
      </c>
      <c r="E14" s="107">
        <f>SUM(E11:E11)</f>
        <v>0</v>
      </c>
      <c r="F14" s="107">
        <f>SUM(F11:F11)</f>
        <v>9</v>
      </c>
      <c r="G14" s="107">
        <f>SUM(G11:G11)</f>
        <v>0</v>
      </c>
      <c r="H14" s="108">
        <f>SUM(H11:H11)</f>
        <v>9</v>
      </c>
    </row>
    <row r="15" spans="1:8" ht="12.75" customHeight="1">
      <c r="B15" s="109"/>
      <c r="D15" s="110"/>
      <c r="E15" s="111"/>
      <c r="F15" s="111"/>
      <c r="G15" s="111"/>
      <c r="H15" s="111"/>
    </row>
    <row r="16" spans="1:8" ht="12.75" customHeight="1">
      <c r="C16" s="112" t="s">
        <v>87</v>
      </c>
      <c r="E16" s="113">
        <f>(D14+E14)*100/(H14-G14)</f>
        <v>0</v>
      </c>
      <c r="F16" s="18" t="s">
        <v>88</v>
      </c>
      <c r="H16" s="114"/>
    </row>
    <row r="17" spans="3:8" ht="12.75" customHeight="1">
      <c r="C17" s="112" t="s">
        <v>89</v>
      </c>
      <c r="E17" s="113">
        <f>D14*100/(H14-G14)</f>
        <v>0</v>
      </c>
      <c r="F17" s="18" t="s">
        <v>88</v>
      </c>
      <c r="H17" s="114"/>
    </row>
  </sheetData>
  <mergeCells count="8">
    <mergeCell ref="C5:D5"/>
    <mergeCell ref="E5:F5"/>
    <mergeCell ref="C6:H6"/>
    <mergeCell ref="E3:F3"/>
    <mergeCell ref="E4:F4"/>
    <mergeCell ref="B1:H1"/>
    <mergeCell ref="C3:D3"/>
    <mergeCell ref="C4:D4"/>
  </mergeCells>
  <pageMargins left="0.74791666666666701" right="0.74791666666666701" top="0.98402777777777795" bottom="0.98402777777777795" header="0.511811023622047" footer="0.5"/>
  <pageSetup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zoomScale="85" zoomScaleNormal="85" workbookViewId="0">
      <pane ySplit="10" topLeftCell="A11" activePane="bottomLeft" state="frozen"/>
      <selection pane="bottomLeft" activeCell="C20" sqref="C20"/>
    </sheetView>
  </sheetViews>
  <sheetFormatPr defaultColWidth="9" defaultRowHeight="13.2" outlineLevelRow="1" outlineLevelCol="1"/>
  <cols>
    <col min="1" max="1" width="17" style="18" customWidth="1"/>
    <col min="2" max="2" width="34.44140625" style="18" customWidth="1"/>
    <col min="3" max="3" width="34.109375" style="18" customWidth="1"/>
    <col min="4" max="4" width="34.6640625" style="18" customWidth="1"/>
    <col min="5" max="5" width="28.33203125" style="18" customWidth="1"/>
    <col min="6" max="6" width="9.33203125" style="18" customWidth="1"/>
    <col min="7" max="7" width="10.6640625" style="18" customWidth="1" outlineLevel="1"/>
    <col min="8" max="8" width="7" style="18" customWidth="1" outlineLevel="1"/>
    <col min="9" max="9" width="9.33203125" style="18" customWidth="1"/>
    <col min="10" max="10" width="10.6640625" style="18" customWidth="1" outlineLevel="1"/>
    <col min="11" max="11" width="7" style="18" customWidth="1" outlineLevel="1"/>
    <col min="12" max="12" width="9.33203125" style="18" customWidth="1"/>
    <col min="13" max="13" width="10.6640625" style="18" customWidth="1" outlineLevel="1"/>
    <col min="14" max="14" width="7" style="18" customWidth="1" outlineLevel="1"/>
    <col min="15" max="15" width="28.6640625" style="18" customWidth="1"/>
    <col min="16" max="16" width="10.109375" style="18" customWidth="1"/>
    <col min="17" max="17" width="8.109375" style="115" customWidth="1"/>
    <col min="18" max="18" width="7.6640625" style="18" hidden="1" customWidth="1"/>
    <col min="19" max="16384" width="9" style="18"/>
  </cols>
  <sheetData>
    <row r="1" spans="1:18" ht="12.75" customHeight="1"/>
    <row r="2" spans="1:18" s="120" customFormat="1" ht="15" customHeight="1">
      <c r="A2" s="116" t="s">
        <v>90</v>
      </c>
      <c r="B2" s="145" t="s">
        <v>13</v>
      </c>
      <c r="C2" s="145"/>
      <c r="D2" s="145"/>
      <c r="E2" s="145"/>
      <c r="F2" s="117"/>
      <c r="G2" s="118"/>
      <c r="H2" s="49"/>
      <c r="I2" s="117"/>
      <c r="J2" s="118"/>
      <c r="K2" s="49"/>
      <c r="L2" s="117"/>
      <c r="M2" s="118"/>
      <c r="N2" s="49"/>
      <c r="O2" s="49"/>
      <c r="P2" s="49"/>
      <c r="Q2" s="119"/>
      <c r="R2" s="120" t="s">
        <v>81</v>
      </c>
    </row>
    <row r="3" spans="1:18" s="120" customFormat="1" ht="56.4" customHeight="1">
      <c r="A3" s="121" t="s">
        <v>91</v>
      </c>
      <c r="B3" s="146" t="s">
        <v>92</v>
      </c>
      <c r="C3" s="146"/>
      <c r="D3" s="146"/>
      <c r="E3" s="146"/>
      <c r="F3" s="117"/>
      <c r="G3" s="118"/>
      <c r="H3" s="49"/>
      <c r="I3" s="117"/>
      <c r="J3" s="118"/>
      <c r="K3" s="49"/>
      <c r="L3" s="117"/>
      <c r="M3" s="118"/>
      <c r="N3" s="49"/>
      <c r="O3" s="49"/>
      <c r="P3" s="49"/>
      <c r="Q3" s="119"/>
      <c r="R3" s="120" t="s">
        <v>82</v>
      </c>
    </row>
    <row r="4" spans="1:18" s="120" customFormat="1" ht="18" customHeight="1">
      <c r="A4" s="121" t="s">
        <v>93</v>
      </c>
      <c r="B4" s="146">
        <f>COUNTA(A12:A1000)</f>
        <v>9</v>
      </c>
      <c r="C4" s="146"/>
      <c r="D4" s="146"/>
      <c r="E4" s="146"/>
      <c r="F4" s="117"/>
      <c r="G4" s="118"/>
      <c r="H4" s="49"/>
      <c r="I4" s="117"/>
      <c r="J4" s="118"/>
      <c r="K4" s="49"/>
      <c r="L4" s="117"/>
      <c r="M4" s="118"/>
      <c r="N4" s="49"/>
      <c r="O4" s="49"/>
      <c r="P4" s="49"/>
      <c r="Q4" s="119"/>
      <c r="R4" s="120" t="s">
        <v>83</v>
      </c>
    </row>
    <row r="5" spans="1:18" s="120" customFormat="1" ht="19.5" customHeight="1">
      <c r="A5" s="122" t="s">
        <v>94</v>
      </c>
      <c r="B5" s="123" t="s">
        <v>81</v>
      </c>
      <c r="C5" s="123" t="s">
        <v>82</v>
      </c>
      <c r="D5" s="123" t="s">
        <v>83</v>
      </c>
      <c r="E5" s="124" t="s">
        <v>84</v>
      </c>
      <c r="F5" s="125"/>
      <c r="G5" s="125"/>
      <c r="H5" s="126"/>
      <c r="I5" s="125"/>
      <c r="J5" s="125"/>
      <c r="K5" s="126"/>
      <c r="L5" s="125"/>
      <c r="M5" s="125"/>
      <c r="N5" s="126"/>
      <c r="O5" s="126"/>
      <c r="P5" s="126"/>
      <c r="Q5" s="127"/>
      <c r="R5" s="120" t="s">
        <v>84</v>
      </c>
    </row>
    <row r="6" spans="1:18" s="120" customFormat="1" ht="15" customHeight="1">
      <c r="A6" s="122" t="s">
        <v>95</v>
      </c>
      <c r="B6" s="128">
        <f>COUNTIF($F10:$F998,B5)</f>
        <v>0</v>
      </c>
      <c r="C6" s="128">
        <f>COUNTIF($F10:$F998,C5)</f>
        <v>0</v>
      </c>
      <c r="D6" s="128">
        <f>COUNTIF($F10:$F998,D5)</f>
        <v>9</v>
      </c>
      <c r="E6" s="129">
        <f>COUNTIF($F10:$F998,E5)</f>
        <v>0</v>
      </c>
      <c r="F6" s="130"/>
      <c r="G6" s="130"/>
      <c r="H6" s="126"/>
      <c r="I6" s="130"/>
      <c r="J6" s="130"/>
      <c r="K6" s="126"/>
      <c r="L6" s="130"/>
      <c r="M6" s="130"/>
      <c r="N6" s="126"/>
      <c r="O6" s="126"/>
      <c r="P6" s="126"/>
      <c r="Q6" s="127"/>
    </row>
    <row r="7" spans="1:18" s="120" customFormat="1" ht="15" customHeight="1">
      <c r="A7" s="122" t="s">
        <v>96</v>
      </c>
      <c r="B7" s="128">
        <f>COUNTIF($F10:$F998,B5)</f>
        <v>0</v>
      </c>
      <c r="C7" s="128">
        <f>COUNTIF($F10:$F998,C5)</f>
        <v>0</v>
      </c>
      <c r="D7" s="128">
        <f>COUNTIF($F10:$F998,D5)</f>
        <v>9</v>
      </c>
      <c r="E7" s="129">
        <f>COUNTIF($F10:$F998,E5)</f>
        <v>0</v>
      </c>
      <c r="F7" s="130"/>
      <c r="G7" s="130"/>
      <c r="H7" s="126"/>
      <c r="I7" s="130"/>
      <c r="J7" s="130"/>
      <c r="K7" s="126"/>
      <c r="L7" s="130"/>
      <c r="M7" s="130"/>
      <c r="N7" s="126"/>
      <c r="O7" s="126"/>
      <c r="P7" s="126"/>
      <c r="Q7" s="127"/>
    </row>
    <row r="8" spans="1:18" s="120" customFormat="1" ht="15" customHeight="1">
      <c r="A8" s="131" t="s">
        <v>97</v>
      </c>
      <c r="B8" s="132">
        <f>COUNTIF($F10:$F998,B5)</f>
        <v>0</v>
      </c>
      <c r="C8" s="132">
        <f>COUNTIF($F10:$F998,C5)</f>
        <v>0</v>
      </c>
      <c r="D8" s="132">
        <f>COUNTIF($F10:$F998,D5)</f>
        <v>9</v>
      </c>
      <c r="E8" s="133">
        <f>COUNTIF($F10:$F998,E5)</f>
        <v>0</v>
      </c>
      <c r="F8" s="130"/>
      <c r="G8" s="130"/>
      <c r="H8" s="126"/>
      <c r="I8" s="130"/>
      <c r="J8" s="130"/>
      <c r="K8" s="126"/>
      <c r="L8" s="130"/>
      <c r="M8" s="130"/>
      <c r="N8" s="126"/>
      <c r="O8" s="126"/>
      <c r="P8" s="126"/>
      <c r="Q8" s="127"/>
    </row>
    <row r="9" spans="1:18" s="120" customFormat="1" ht="15" customHeight="1">
      <c r="A9" s="126"/>
      <c r="B9" s="126"/>
      <c r="C9" s="126"/>
      <c r="D9" s="126"/>
      <c r="E9" s="126"/>
      <c r="F9" s="114"/>
      <c r="G9" s="126"/>
      <c r="H9" s="126"/>
      <c r="I9" s="114"/>
      <c r="J9" s="126"/>
      <c r="K9" s="126"/>
      <c r="L9" s="114"/>
      <c r="M9" s="126"/>
      <c r="N9" s="126"/>
      <c r="O9" s="126"/>
      <c r="P9" s="126"/>
      <c r="Q9" s="127"/>
    </row>
    <row r="10" spans="1:18" s="120" customFormat="1" ht="25.5" customHeight="1">
      <c r="A10" s="134" t="s">
        <v>98</v>
      </c>
      <c r="B10" s="134" t="s">
        <v>99</v>
      </c>
      <c r="C10" s="134" t="s">
        <v>100</v>
      </c>
      <c r="D10" s="134" t="s">
        <v>101</v>
      </c>
      <c r="E10" s="134" t="s">
        <v>102</v>
      </c>
      <c r="F10" s="134" t="s">
        <v>95</v>
      </c>
      <c r="G10" s="134" t="s">
        <v>103</v>
      </c>
      <c r="H10" s="134" t="s">
        <v>104</v>
      </c>
      <c r="I10" s="134" t="s">
        <v>96</v>
      </c>
      <c r="J10" s="134" t="s">
        <v>103</v>
      </c>
      <c r="K10" s="134" t="s">
        <v>104</v>
      </c>
      <c r="L10" s="134" t="s">
        <v>97</v>
      </c>
      <c r="M10" s="134" t="s">
        <v>103</v>
      </c>
      <c r="N10" s="134" t="s">
        <v>104</v>
      </c>
      <c r="O10" s="134" t="s">
        <v>105</v>
      </c>
      <c r="Q10" s="135"/>
    </row>
    <row r="11" spans="1:18" s="120" customFormat="1" ht="15.75" customHeight="1">
      <c r="A11" s="136" t="s">
        <v>106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Q11" s="139"/>
    </row>
    <row r="12" spans="1:18" s="141" customFormat="1" ht="90" customHeight="1" outlineLevel="1">
      <c r="A12" s="140" t="s">
        <v>67</v>
      </c>
      <c r="B12" s="50" t="s">
        <v>107</v>
      </c>
      <c r="C12" s="50" t="s">
        <v>108</v>
      </c>
      <c r="D12" s="50" t="s">
        <v>109</v>
      </c>
      <c r="E12" s="50" t="s">
        <v>110</v>
      </c>
      <c r="F12" s="140" t="s">
        <v>83</v>
      </c>
      <c r="G12" s="140"/>
      <c r="H12" s="140"/>
      <c r="I12" s="140" t="s">
        <v>83</v>
      </c>
      <c r="J12" s="140"/>
      <c r="K12" s="140"/>
      <c r="L12" s="140" t="s">
        <v>83</v>
      </c>
      <c r="M12" s="140"/>
      <c r="N12" s="140"/>
      <c r="O12" s="140"/>
      <c r="Q12" s="142"/>
    </row>
    <row r="13" spans="1:18" ht="90" customHeight="1" outlineLevel="1">
      <c r="A13" s="140" t="s">
        <v>68</v>
      </c>
      <c r="B13" s="140" t="s">
        <v>111</v>
      </c>
      <c r="C13" s="140" t="s">
        <v>112</v>
      </c>
      <c r="D13" s="143" t="s">
        <v>113</v>
      </c>
      <c r="E13" s="143" t="s">
        <v>110</v>
      </c>
      <c r="F13" s="140" t="s">
        <v>83</v>
      </c>
      <c r="G13" s="140"/>
      <c r="H13" s="140"/>
      <c r="I13" s="140" t="s">
        <v>83</v>
      </c>
      <c r="J13" s="140"/>
      <c r="K13" s="140"/>
      <c r="L13" s="140" t="s">
        <v>83</v>
      </c>
      <c r="M13" s="140"/>
      <c r="N13" s="140"/>
      <c r="O13" s="140"/>
      <c r="Q13" s="142"/>
    </row>
    <row r="14" spans="1:18" ht="90" customHeight="1" outlineLevel="1">
      <c r="A14" s="140" t="s">
        <v>69</v>
      </c>
      <c r="B14" s="140" t="s">
        <v>114</v>
      </c>
      <c r="C14" s="140" t="s">
        <v>115</v>
      </c>
      <c r="D14" s="143" t="s">
        <v>116</v>
      </c>
      <c r="E14" s="143" t="s">
        <v>110</v>
      </c>
      <c r="F14" s="140" t="s">
        <v>83</v>
      </c>
      <c r="G14" s="140"/>
      <c r="H14" s="140"/>
      <c r="I14" s="140" t="s">
        <v>83</v>
      </c>
      <c r="J14" s="140"/>
      <c r="K14" s="140"/>
      <c r="L14" s="140" t="s">
        <v>83</v>
      </c>
      <c r="M14" s="140"/>
      <c r="N14" s="140"/>
      <c r="O14" s="140"/>
      <c r="Q14" s="142"/>
    </row>
    <row r="15" spans="1:18" s="120" customFormat="1" ht="90" customHeight="1">
      <c r="A15" s="136" t="s">
        <v>70</v>
      </c>
      <c r="B15" s="147" t="s">
        <v>117</v>
      </c>
      <c r="C15" s="147" t="s">
        <v>118</v>
      </c>
      <c r="D15" s="147" t="s">
        <v>119</v>
      </c>
      <c r="E15" s="147" t="s">
        <v>110</v>
      </c>
      <c r="F15" s="148" t="s">
        <v>83</v>
      </c>
      <c r="G15" s="148"/>
      <c r="H15" s="148"/>
      <c r="I15" s="148" t="s">
        <v>83</v>
      </c>
      <c r="J15" s="148"/>
      <c r="K15" s="148"/>
      <c r="L15" s="148" t="s">
        <v>83</v>
      </c>
      <c r="M15" s="148"/>
      <c r="N15" s="148"/>
      <c r="O15" s="148"/>
      <c r="Q15" s="139"/>
    </row>
    <row r="16" spans="1:18" ht="90" customHeight="1" outlineLevel="1">
      <c r="A16" s="140" t="s">
        <v>71</v>
      </c>
      <c r="B16" s="140" t="s">
        <v>120</v>
      </c>
      <c r="C16" s="140" t="s">
        <v>121</v>
      </c>
      <c r="D16" s="140" t="s">
        <v>122</v>
      </c>
      <c r="E16" s="140" t="s">
        <v>110</v>
      </c>
      <c r="F16" s="140" t="s">
        <v>83</v>
      </c>
      <c r="G16" s="140"/>
      <c r="H16" s="140"/>
      <c r="I16" s="140" t="s">
        <v>83</v>
      </c>
      <c r="J16" s="140"/>
      <c r="K16" s="140"/>
      <c r="L16" s="140" t="s">
        <v>83</v>
      </c>
      <c r="M16" s="140"/>
      <c r="N16" s="140"/>
      <c r="O16" s="140"/>
      <c r="Q16" s="142"/>
    </row>
    <row r="17" spans="1:17" ht="90" customHeight="1" outlineLevel="1">
      <c r="A17" s="140" t="s">
        <v>72</v>
      </c>
      <c r="B17" s="140" t="s">
        <v>123</v>
      </c>
      <c r="C17" s="140" t="s">
        <v>124</v>
      </c>
      <c r="D17" s="140" t="s">
        <v>125</v>
      </c>
      <c r="E17" s="140" t="s">
        <v>126</v>
      </c>
      <c r="F17" s="140" t="s">
        <v>83</v>
      </c>
      <c r="G17" s="144"/>
      <c r="H17" s="144"/>
      <c r="I17" s="140" t="s">
        <v>83</v>
      </c>
      <c r="J17" s="144"/>
      <c r="K17" s="144"/>
      <c r="L17" s="140" t="s">
        <v>83</v>
      </c>
      <c r="M17" s="144"/>
      <c r="N17" s="144"/>
      <c r="O17" s="144"/>
    </row>
    <row r="18" spans="1:17" s="120" customFormat="1" ht="99.6" customHeight="1">
      <c r="A18" s="136" t="s">
        <v>73</v>
      </c>
      <c r="B18" s="147" t="s">
        <v>127</v>
      </c>
      <c r="C18" s="147" t="s">
        <v>128</v>
      </c>
      <c r="D18" s="147" t="s">
        <v>129</v>
      </c>
      <c r="E18" s="147" t="s">
        <v>130</v>
      </c>
      <c r="F18" s="148" t="s">
        <v>83</v>
      </c>
      <c r="G18" s="148"/>
      <c r="H18" s="148"/>
      <c r="I18" s="148" t="s">
        <v>83</v>
      </c>
      <c r="J18" s="148"/>
      <c r="K18" s="148"/>
      <c r="L18" s="148" t="s">
        <v>83</v>
      </c>
      <c r="M18" s="148"/>
      <c r="N18" s="148"/>
      <c r="O18" s="148"/>
      <c r="Q18" s="139"/>
    </row>
    <row r="19" spans="1:17" ht="90" customHeight="1" outlineLevel="1">
      <c r="A19" s="140" t="s">
        <v>74</v>
      </c>
      <c r="B19" s="140" t="s">
        <v>131</v>
      </c>
      <c r="C19" s="140" t="s">
        <v>132</v>
      </c>
      <c r="D19" s="140" t="s">
        <v>133</v>
      </c>
      <c r="E19" s="140" t="s">
        <v>134</v>
      </c>
      <c r="F19" s="140" t="s">
        <v>83</v>
      </c>
      <c r="G19" s="140"/>
      <c r="H19" s="140"/>
      <c r="I19" s="140" t="s">
        <v>83</v>
      </c>
      <c r="J19" s="140"/>
      <c r="K19" s="140"/>
      <c r="L19" s="140" t="s">
        <v>83</v>
      </c>
      <c r="M19" s="140"/>
      <c r="N19" s="140"/>
      <c r="O19" s="140"/>
      <c r="Q19" s="142"/>
    </row>
    <row r="20" spans="1:17" ht="90" customHeight="1">
      <c r="A20" s="144" t="s">
        <v>135</v>
      </c>
      <c r="B20" s="149" t="s">
        <v>136</v>
      </c>
      <c r="C20" s="149" t="s">
        <v>137</v>
      </c>
      <c r="D20" s="149" t="s">
        <v>138</v>
      </c>
      <c r="E20" s="149" t="s">
        <v>134</v>
      </c>
      <c r="F20" s="144" t="s">
        <v>83</v>
      </c>
      <c r="G20" s="144"/>
      <c r="H20" s="144"/>
      <c r="I20" s="144" t="s">
        <v>83</v>
      </c>
      <c r="J20" s="144"/>
      <c r="K20" s="144"/>
      <c r="L20" s="144" t="s">
        <v>83</v>
      </c>
      <c r="M20" s="144"/>
      <c r="N20" s="144"/>
      <c r="O20" s="144"/>
    </row>
  </sheetData>
  <mergeCells count="3">
    <mergeCell ref="B2:E2"/>
    <mergeCell ref="B3:E3"/>
    <mergeCell ref="B4:E4"/>
  </mergeCells>
  <dataValidations count="2">
    <dataValidation type="list" allowBlank="1" showErrorMessage="1" sqref="G2:G3 J2:J3 M2:M3 G9 J9 M9 F12:F19 I12:I19 L12:L19 G20:G147 J20:J147 M20:M147" xr:uid="{00000000-0002-0000-0400-000000000000}">
      <formula1>$R$2:$R$5</formula1>
      <formula2>0</formula2>
    </dataValidation>
    <dataValidation allowBlank="1" showErrorMessage="1" sqref="F10 I10 L10" xr:uid="{00000000-0002-0000-0400-000001000000}">
      <formula1>0</formula1>
      <formula2>0</formula2>
    </dataValidation>
  </dataValidations>
  <pageMargins left="0.74791666666666701" right="0.25" top="0.75" bottom="0.98402777777777795" header="0.5" footer="0.5"/>
  <pageSetup paperSize="9" orientation="landscape" horizontalDpi="300" verticalDpi="300"/>
  <headerFooter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Decision Table</vt:lpstr>
      <vt:lpstr>Test Statistics</vt:lpstr>
      <vt:lpstr>Register-DecisionTable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</dc:description>
  <cp:lastModifiedBy>Trang Nguyễn</cp:lastModifiedBy>
  <cp:revision>0</cp:revision>
  <cp:lastPrinted>2010-11-12T10:33:20Z</cp:lastPrinted>
  <dcterms:created xsi:type="dcterms:W3CDTF">2020-03-17T17:34:29Z</dcterms:created>
  <dcterms:modified xsi:type="dcterms:W3CDTF">2026-07-08T04:07:58Z</dcterms:modified>
  <cp:category>BM</cp:category>
  <dc:language>en-US</dc:language>
</cp:coreProperties>
</file>