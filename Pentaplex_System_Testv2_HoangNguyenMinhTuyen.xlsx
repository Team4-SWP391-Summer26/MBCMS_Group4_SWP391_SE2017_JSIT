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wnload\"/>
    </mc:Choice>
  </mc:AlternateContent>
  <xr:revisionPtr revIDLastSave="0" documentId="13_ncr:1_{B65A16CD-7B64-4640-AC99-8936055C0631}" xr6:coauthVersionLast="47" xr6:coauthVersionMax="47" xr10:uidLastSave="{00000000-0000-0000-0000-000000000000}"/>
  <bookViews>
    <workbookView xWindow="-108" yWindow="-108" windowWidth="23256" windowHeight="13896" tabRatio="500" activeTab="3" xr2:uid="{00000000-000D-0000-FFFF-FFFF00000000}"/>
  </bookViews>
  <sheets>
    <sheet name="Cover" sheetId="1" r:id="rId1"/>
    <sheet name="Test Cases" sheetId="2" r:id="rId2"/>
    <sheet name="Test Statistics" sheetId="3" r:id="rId3"/>
    <sheet name="UC29_Book_Ticket" sheetId="4" r:id="rId4"/>
  </sheets>
  <definedNames>
    <definedName name="ACTION" localSheetId="0">#REF!</definedName>
    <definedName name="ACTION">#REF!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3" l="1"/>
  <c r="B6" i="1"/>
  <c r="E18" i="4"/>
  <c r="D18" i="4"/>
  <c r="C18" i="4"/>
  <c r="B18" i="4"/>
  <c r="E17" i="4"/>
  <c r="D17" i="4"/>
  <c r="C17" i="4"/>
  <c r="B17" i="4"/>
  <c r="E16" i="4"/>
  <c r="G11" i="3" s="1"/>
  <c r="G14" i="3" s="1"/>
  <c r="D16" i="4"/>
  <c r="F11" i="3" s="1"/>
  <c r="F14" i="3" s="1"/>
  <c r="C16" i="4"/>
  <c r="E11" i="3" s="1"/>
  <c r="E14" i="3" s="1"/>
  <c r="B16" i="4"/>
  <c r="D11" i="3" s="1"/>
  <c r="D14" i="3" s="1"/>
  <c r="B4" i="4"/>
  <c r="H11" i="3" s="1"/>
  <c r="H14" i="3" s="1"/>
  <c r="E16" i="3" s="1"/>
  <c r="E1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0" authorId="0" shapeId="0" xr:uid="{00000000-0006-0000-0000-000001000000}">
      <text>
        <r>
          <rPr>
            <sz val="10"/>
            <rFont val="Arial"/>
            <family val="2"/>
          </rPr>
          <t xml:space="preserve">*A: Add
  M: Modify
  D: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20" authorId="0" shapeId="0" xr:uid="{00000000-0006-0000-0300-000001000000}">
      <text>
        <r>
          <rPr>
            <sz val="10"/>
            <rFont val="Arial"/>
            <family val="2"/>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<sst xmlns="http://schemas.openxmlformats.org/spreadsheetml/2006/main" count="149" uniqueCount="107">
  <si>
    <t>SYSTEM TEST REPORT DOCUMENT</t>
  </si>
  <si>
    <t>Project Name</t>
  </si>
  <si>
    <t>PENTAPLEX</t>
  </si>
  <si>
    <t>Creator</t>
  </si>
  <si>
    <t>Hoang Nguyen Minh Tuyen</t>
  </si>
  <si>
    <t>Project Code</t>
  </si>
  <si>
    <t>PentaPlex</t>
  </si>
  <si>
    <t>Issue Date</t>
  </si>
  <si>
    <t>Document Code</t>
  </si>
  <si>
    <t>Version</t>
  </si>
  <si>
    <t>1.0</t>
  </si>
  <si>
    <t>Record of change</t>
  </si>
  <si>
    <t>Effective Date</t>
  </si>
  <si>
    <t>Change Item</t>
  </si>
  <si>
    <t>*A,D,M</t>
  </si>
  <si>
    <t>Change description</t>
  </si>
  <si>
    <t>Reference</t>
  </si>
  <si>
    <t>A</t>
  </si>
  <si>
    <t xml:space="preserve"> Initial creation of the PentaPlex System Test Report</t>
  </si>
  <si>
    <t>PentaPlex_SRS_v1.5.docx,PentaPlex_Test_Plan_v1.0.pdf,PentaPlex_DB_Design_v1.1.sql</t>
  </si>
  <si>
    <t>TEST CASE LIST</t>
  </si>
  <si>
    <t>Test Environment Setup Description</t>
  </si>
  <si>
    <t xml:space="preserve">Server: Apache Tomcat 10.1
Database: Microsoft SQL Server 2019 Express
Application Runtime: JRE 17
Web Browser: Google Chrome 124, Microsoft Edge 123, Safari 17
Operating System: Windows Server 2019 Standard (cho Staging)
</t>
  </si>
  <si>
    <t>No</t>
  </si>
  <si>
    <t>Function Name</t>
  </si>
  <si>
    <t>Sheet Name</t>
  </si>
  <si>
    <t>Description</t>
  </si>
  <si>
    <t>Pre-Condition</t>
  </si>
  <si>
    <t xml:space="preserve">	Book Ticket (UC29)</t>
  </si>
  <si>
    <t>UC29_Booking_Workflow</t>
  </si>
  <si>
    <t>Kiểm thử luồng đặt vé từ lúc chọn phim đến khi nhận vé QR thành công, bao gồm cả các luồng lỗi</t>
  </si>
  <si>
    <t>1. Người dùng đã đăng nhập
2. Phim ở trạng thái "Now Showing"
3. Tài khoản có đủ thông tin ngày sinh (để check C13/16/18)</t>
  </si>
  <si>
    <t>TEST STATISTICS</t>
  </si>
  <si>
    <t>Reviewer/Approver</t>
  </si>
  <si>
    <t>Pham Quoc Anh (Project Manager)</t>
  </si>
  <si>
    <t>Notes</t>
  </si>
  <si>
    <t xml:space="preserve"> Release 1 bao gồm module: UC29 Booking Workflow</t>
  </si>
  <si>
    <t>Module code</t>
  </si>
  <si>
    <t>Passed</t>
  </si>
  <si>
    <t>Failed</t>
  </si>
  <si>
    <t>Pending</t>
  </si>
  <si>
    <t>N/A</t>
  </si>
  <si>
    <t>Number of  test cases</t>
  </si>
  <si>
    <t>UC29 (Booking Workflow)</t>
  </si>
  <si>
    <t>Sub total</t>
  </si>
  <si>
    <t>Test coverage</t>
  </si>
  <si>
    <t>%</t>
  </si>
  <si>
    <t>Test successful coverage</t>
  </si>
  <si>
    <t>Workflow</t>
  </si>
  <si>
    <t>Book Ticket(UC29)</t>
  </si>
  <si>
    <t>Test requirement</t>
  </si>
  <si>
    <t>Đảm bảo toàn bộ quy trình đặt vé trực tuyến diễn ra thông suốt, bao gồm chọn ghế, chọn F&amp;B, áp dụng khuyến mãi và thanh toán VNPay thành công. Đồng thời kiểm soát các lỗi về tuổi, tranh chấp ghế và hết hạn thanh toán</t>
  </si>
  <si>
    <t>Number of TCs</t>
  </si>
  <si>
    <t>ĐẶC TẢ USE CASE (USE CASE SPECIFICATION) – UC29 BOOK TICKET</t>
  </si>
  <si>
    <t>Primary Actor</t>
  </si>
  <si>
    <t>Customer</t>
  </si>
  <si>
    <t>Secondary Actor(s)</t>
  </si>
  <si>
    <t>Payment Gateway (VNPay Sandbox)</t>
  </si>
  <si>
    <t>Preconditions</t>
  </si>
  <si>
    <t>1. Người dùng (Customer) đã đăng nhập và được xác thực.
2. Người dùng đã chọn được bộ phim muốn xem (phim ở trạng thái "Now Showing").</t>
  </si>
  <si>
    <t>Postconditions</t>
  </si>
  <si>
    <t>1. Đặt vé thành công, bookings.status = CONFIRMED.
2. Điểm loyalty của khách hàng được cập nhật.
3. Vé được sinh mã duy nhất: Booking Code (BKYYYY-NNNNN) kèm QR Code.</t>
  </si>
  <si>
    <t>Basic Flow (Normal Sequence)</t>
  </si>
  <si>
    <t>1. Người dùng chọn ngày và suất chiếu (chi nhánh, phòng chiếu).
2. Người dùng chọn ghế (Standard/VIP); hệ thống khóa ghế tạm thời (soft-lock).
3. Người dùng chọn F&amp;B (tùy chọn).
4. Người dùng nhập/áp dụng mã khuyến mãi (tùy chọn).
5. Người dùng nhấn "Proceed to Payment"; hệ thống chuyển sang cổng VNPay Sandbox.
6. Người dùng thanh toán thành công.
7. Hệ thống xác nhận đặt vé (CONFIRMED), ghi nhận vào Dashboard, sinh vé điện tử (QR Code) và gửi email xác nhận.</t>
  </si>
  <si>
    <t>Alternative Flow 1 (AF1 – Age Verification)</t>
  </si>
  <si>
    <t>Nếu phim có phân loại C13/C16/C18 và khách hàng chưa đủ tuổi theo hồ sơ (date_of_birth), hệ thống chặn thao tác đặt vé và hiển thị thông báo lỗi MSG13, không cho phép tiếp tục sang bước chọn ghế/thanh toán.</t>
  </si>
  <si>
    <t>Alternative Flow 2 (AF2 – Seat Conflict)</t>
  </si>
  <si>
    <t>Khi hai khách hàng cùng chọn một ghế tại cùng một thời điểm (xử lý real-time qua WebSocket): khách hàng thao tác trước được giữ ghế thành công (booking_seats, status = PENDING); khách hàng còn lại nhận thông báo lỗi MSG12 ("Seat is unavailable") và phải chọn ghế khác.</t>
  </si>
  <si>
    <t>Alternative Flow 3 (AF3 – Payment Timeout)</t>
  </si>
  <si>
    <t>Nếu khách hàng không hoàn tất thanh toán trong vòng 10 phút kể từ khi giữ ghế, hệ thống tự động hủy giao dịch (bookings.status = CANCELLED) và giải phóng ghế về trạng thái Available.</t>
  </si>
  <si>
    <t>Testing Round</t>
  </si>
  <si>
    <t>Round 1</t>
  </si>
  <si>
    <t>Round 2</t>
  </si>
  <si>
    <t>Round 3</t>
  </si>
  <si>
    <t>Test Case ID</t>
  </si>
  <si>
    <t>Test Case Description</t>
  </si>
  <si>
    <t>Test Case Procedure</t>
  </si>
  <si>
    <t>Expected Results</t>
  </si>
  <si>
    <t>Pre-conditions</t>
  </si>
  <si>
    <t>Test date</t>
  </si>
  <si>
    <t>Tester</t>
  </si>
  <si>
    <t>Note</t>
  </si>
  <si>
    <t>UC_Book_Ticket</t>
  </si>
  <si>
    <t>TC_UC29_01</t>
  </si>
  <si>
    <t>Kiểm thử luồng đặt vé thành công (Basic Flow)</t>
  </si>
  <si>
    <t>1. Đăng nhập tài khoản Customer.
2. Chọn phim đang chiếu (Now Showing), chọn chi nhánh và suất chiếu.
3. Chọn 02 ghế VIP (A1, A2).
4. Chọn thêm 01 Combo bắp nước (F&amp;B - tùy chọn).
5. Nhập/áp dụng mã khuyến mãi hợp lệ (nếu có).
6. Nhấn "Proceed to Payment", chọn phương thức VNPay, quét QR và hoàn tất thanh toán trên VNPay Sandbox.</t>
  </si>
  <si>
    <t>- Ghế được khóa tạm thời (bookings.status = PENDING) ngay khi chọn.
- Sau khi thanh toán thành công: payments.status = SUCCESS, bookings.status = CONFIRMED.
- Hệ thống sinh Booking Code (định dạng BKYYYY-NNNNN) và mã QR e-ticket tương ứng.
- Email xác nhận kèm vé điện tử (PDF + QR) được gửi đến địa chỉ email của khách hàng.
- Điểm loyalty của khách hàng được cộng tương ứng với giá trị đơn hàng.</t>
  </si>
  <si>
    <t>1. Người dùng đã đăng nhập.
2. Phim ở trạng thái "Now Showing".
3. Còn ghế trống tại suất chiếu đã chọn.</t>
  </si>
  <si>
    <t>Basic Flow - luồng chính theo đặc tả UC29.</t>
  </si>
  <si>
    <t>TC_UC29_02</t>
  </si>
  <si>
    <t>Kiểm thử chặn đặt vé do không đủ tuổi (AF1)</t>
  </si>
  <si>
    <t>1. Chọn một phim có phân loại C18.
2. Đăng nhập bằng tài khoản có ngày sinh thể hiện độ tuổi dưới ngưỡng yêu cầu (ví dụ sinh năm 2015).
3. Nhấn nút "Book Tickets" hoặc thao tác chọn ghế cho suất chiếu đó.</t>
  </si>
  <si>
    <t>- Hệ thống đối chiếu movies.rated (C13/C16/C18) với ngày sinh (customers.date_of_birth) của tài khoản.
- Hệ thống chặn thao tác đặt vé và hiển thị thông báo lỗi MSG13: "This movie requires age verification. Please update your date of birth in your profile or present ID at the cinema."
- Người dùng không thể tiếp tục sang bước chọn ghế/thanh toán.</t>
  </si>
  <si>
    <t>1. Tài khoản có thông tin ngày sinh chính xác trong hồ sơ.
2. Phim đã được gán age rating hợp lệ (C13/C16/C18).</t>
  </si>
  <si>
    <t>AF1 - Age Verification. Tham chiếu MSG13.</t>
  </si>
  <si>
    <t>TC_UC29_03</t>
  </si>
  <si>
    <t>Kiểm thử xử lý xung đột ghế khi 2 người cùng chọn (AF2)</t>
  </si>
  <si>
    <t>1. Hai người dùng A và B cùng mở màn hình Seat Selection của cùng một suất chiếu.
2. Cả A và B cùng nhấn chọn ghế B5 gần như đồng thời.
3. Cả hai cùng nhấn "Continue" để giữ ghế.</t>
  </si>
  <si>
    <t>- Người dùng nhấn trước (A, xác định theo timestamp) được khóa ghế thành công (tạo booking_seats, bookings.status = PENDING).
- Người dùng B nhận cập nhật real-time qua WebSocket và thông báo lỗi MSG12: "Seat is unavailable", hệ thống yêu cầu B chọn ghế khác.
- Không tồn tại 2 bản ghi booking_seats active cho cùng 1 ghế/1 showtime (đảm bảo ràng buộc UNIQUE).</t>
  </si>
  <si>
    <t>1. Hai thiết bị/trình duyệt khác nhau đang truy cập cùng một suất chiếu.
2. Ghế B5 đang ở trạng thái Available trước khi thao tác.</t>
  </si>
  <si>
    <t>AF2 - Seat Conflict (real-time qua WebSocket). Tham chiếu MSG12.</t>
  </si>
  <si>
    <t>TC_UC29_04</t>
  </si>
  <si>
    <t>Kiểm thử tự động hủy vé khi hết hạn thanh toán (AF3)</t>
  </si>
  <si>
    <t>1. Thực hiện các bước đặt vé đến khi ghế được khóa tạm thời (bookings.status = PENDING) và chuyển sang màn hình thanh toán VNPay.
2. Không thực hiện thao tác thanh toán, giữ nguyên màn hình.
3. Chờ quá thời gian giữ ghế quy định (10 phút) rồi kiểm tra lại trạng thái.</t>
  </si>
  <si>
    <t>- Sau đúng 10 phút không thanh toán, hệ thống tự động cập nhật bookings.status = CANCELLED.
- Toàn bộ ghế đã giữ được giải phóng, trở lại trạng thái "Available" (màu trắng) trên sơ đồ ghế.
- Không phát sinh bản ghi Payment ở trạng thái SUCCESS.
- Khách hàng được thông báo phiên đặt vé đã hết hạn và cần thực hiện lại từ đầu.</t>
  </si>
  <si>
    <t>Ghế đã được khóa tạm thời (soft-lock) trong vòng 10 phút trước đó theo cơ chế Seat Timeout của hệ thống.</t>
  </si>
  <si>
    <t>AF3 - Payment Timeout. Liên quan job CLEANUP_JOB (chạy mỗi 5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</si>
</sst>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d\-mmm\-yy;@"/>
    <numFmt numFmtId="166" formatCode="d\-mmm\-yy"/>
  </numFmts>
  <fonts count="25">
    <font>
      <sz val="11"/>
      <name val="ＭＳ Ｐゴシック"/>
      <charset val="128"/>
    </font>
    <font>
      <sz val="9"/>
      <name val="ＭＳ ゴシック"/>
      <family val="3"/>
      <charset val="128"/>
    </font>
    <font>
      <sz val="10"/>
      <name val="Tahoma"/>
      <family val="2"/>
      <charset val="1"/>
    </font>
    <font>
      <b/>
      <sz val="26"/>
      <color rgb="FFFF0000"/>
      <name val="Tahoma"/>
      <family val="2"/>
      <charset val="1"/>
    </font>
    <font>
      <b/>
      <sz val="20"/>
      <color rgb="FF000000"/>
      <name val="Tahoma"/>
      <family val="2"/>
      <charset val="1"/>
    </font>
    <font>
      <b/>
      <sz val="10"/>
      <color rgb="FF993300"/>
      <name val="Tahoma"/>
      <family val="2"/>
      <charset val="1"/>
    </font>
    <font>
      <i/>
      <sz val="10"/>
      <color rgb="FF008000"/>
      <name val="Tahoma"/>
      <family val="2"/>
      <charset val="1"/>
    </font>
    <font>
      <b/>
      <sz val="10"/>
      <name val="Tahoma"/>
      <family val="2"/>
      <charset val="1"/>
    </font>
    <font>
      <i/>
      <sz val="10"/>
      <name val="Tahoma"/>
      <family val="2"/>
      <charset val="1"/>
    </font>
    <font>
      <b/>
      <sz val="10"/>
      <color rgb="FFFFFFFF"/>
      <name val="Tahoma"/>
      <family val="2"/>
      <charset val="1"/>
    </font>
    <font>
      <sz val="10"/>
      <name val="Google Sans Text"/>
      <charset val="1"/>
    </font>
    <font>
      <sz val="10"/>
      <name val="Arial"/>
      <family val="2"/>
    </font>
    <font>
      <b/>
      <sz val="10"/>
      <color rgb="FF000000"/>
      <name val="Tahoma"/>
      <family val="2"/>
      <charset val="1"/>
    </font>
    <font>
      <b/>
      <sz val="10"/>
      <color rgb="FFFF0000"/>
      <name val="Tahoma"/>
      <family val="2"/>
      <charset val="1"/>
    </font>
    <font>
      <u/>
      <sz val="11"/>
      <color rgb="FF0000FF"/>
      <name val="ＭＳ Ｐゴシック"/>
      <family val="3"/>
      <charset val="128"/>
    </font>
    <font>
      <u/>
      <sz val="10"/>
      <color rgb="FF0000FF"/>
      <name val="Tahoma"/>
      <family val="2"/>
      <charset val="1"/>
    </font>
    <font>
      <i/>
      <sz val="10"/>
      <color rgb="FF388600"/>
      <name val="Tahoma"/>
      <family val="2"/>
      <charset val="1"/>
    </font>
    <font>
      <sz val="10"/>
      <color rgb="FFFFFFFF"/>
      <name val="Tahoma"/>
      <family val="2"/>
      <charset val="1"/>
    </font>
    <font>
      <b/>
      <sz val="10"/>
      <color rgb="FF0000FF"/>
      <name val="Tahoma"/>
      <family val="2"/>
      <charset val="1"/>
    </font>
    <font>
      <sz val="10"/>
      <color rgb="FF000000"/>
      <name val="Tahoma"/>
      <family val="2"/>
      <charset val="1"/>
    </font>
    <font>
      <sz val="10"/>
      <color rgb="FFFF0000"/>
      <name val="Tahoma"/>
      <family val="2"/>
      <charset val="1"/>
    </font>
    <font>
      <b/>
      <sz val="11"/>
      <name val="Cambria"/>
      <charset val="1"/>
    </font>
    <font>
      <b/>
      <i/>
      <sz val="10"/>
      <name val="Tahoma"/>
      <family val="2"/>
      <charset val="1"/>
    </font>
    <font>
      <sz val="11"/>
      <name val="Tahoma"/>
      <family val="2"/>
    </font>
    <font>
      <b/>
      <sz val="11"/>
      <name val="Tahoma"/>
      <family val="2"/>
    </font>
  </fonts>
  <fills count="8">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D9E1F2"/>
        <bgColor rgb="FFCCFFFF"/>
      </patternFill>
    </fill>
    <fill>
      <patternFill patternType="solid">
        <fgColor theme="6" tint="-0.249977111117893"/>
        <bgColor rgb="FF808080"/>
      </patternFill>
    </fill>
    <fill>
      <patternFill patternType="solid">
        <fgColor rgb="FFCCFFFF"/>
        <bgColor rgb="FFCCFFFF"/>
      </patternFill>
    </fill>
  </fills>
  <borders count="32">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thin">
        <color auto="1"/>
      </top>
      <bottom style="hair">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1" fillId="0" borderId="0"/>
  </cellStyleXfs>
  <cellXfs count="145">
    <xf numFmtId="0" fontId="0" fillId="0" borderId="0" xfId="0"/>
    <xf numFmtId="0" fontId="2" fillId="0" borderId="0" xfId="0" applyFont="1" applyAlignment="1">
      <alignment horizontal="left" indent="1"/>
    </xf>
    <xf numFmtId="0" fontId="2" fillId="0" borderId="0" xfId="0" applyFont="1"/>
    <xf numFmtId="0" fontId="3" fillId="0" borderId="1" xfId="0" applyFont="1" applyBorder="1" applyAlignment="1">
      <alignment horizontal="center" vertical="center"/>
    </xf>
    <xf numFmtId="0" fontId="2" fillId="0" borderId="0" xfId="0" applyFont="1" applyAlignment="1">
      <alignment horizontal="center" vertical="center"/>
    </xf>
    <xf numFmtId="0" fontId="5" fillId="2" borderId="0" xfId="0" applyFont="1" applyFill="1" applyAlignment="1">
      <alignment horizontal="left" indent="1"/>
    </xf>
    <xf numFmtId="0" fontId="6" fillId="0" borderId="0" xfId="0" applyFont="1" applyAlignment="1">
      <alignment horizontal="left" indent="1"/>
    </xf>
    <xf numFmtId="0" fontId="2" fillId="2" borderId="0" xfId="0" applyFont="1" applyFill="1"/>
    <xf numFmtId="0" fontId="7" fillId="2" borderId="2" xfId="0" applyFont="1" applyFill="1" applyBorder="1" applyAlignment="1">
      <alignment horizontal="left" vertical="top" wrapText="1"/>
    </xf>
    <xf numFmtId="0" fontId="2" fillId="0" borderId="3" xfId="0" applyFont="1" applyBorder="1" applyAlignment="1">
      <alignment vertical="top" wrapText="1"/>
    </xf>
    <xf numFmtId="164" fontId="8" fillId="0" borderId="3" xfId="0" applyNumberFormat="1" applyFont="1" applyBorder="1" applyAlignment="1">
      <alignment horizontal="left" vertical="top" wrapText="1"/>
    </xf>
    <xf numFmtId="0" fontId="7" fillId="2" borderId="2" xfId="0" applyFont="1" applyFill="1" applyBorder="1" applyAlignment="1">
      <alignment vertical="center" wrapText="1"/>
    </xf>
    <xf numFmtId="0" fontId="8" fillId="0" borderId="3" xfId="0" applyFont="1" applyBorder="1" applyAlignment="1">
      <alignment horizontal="left" vertical="top" wrapText="1"/>
    </xf>
    <xf numFmtId="0" fontId="7" fillId="0" borderId="0" xfId="0" applyFont="1"/>
    <xf numFmtId="0" fontId="6" fillId="0" borderId="0" xfId="0" applyFont="1" applyAlignment="1">
      <alignment horizontal="left"/>
    </xf>
    <xf numFmtId="0" fontId="5" fillId="0" borderId="0" xfId="0" applyFont="1" applyAlignment="1">
      <alignment horizontal="left" indent="1"/>
    </xf>
    <xf numFmtId="0" fontId="7" fillId="0" borderId="0" xfId="0" applyFont="1" applyAlignment="1">
      <alignment horizontal="left" vertical="top" wrapText="1"/>
    </xf>
    <xf numFmtId="165" fontId="9" fillId="3" borderId="4" xfId="0" applyNumberFormat="1"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2" fillId="0" borderId="0" xfId="0" applyFont="1" applyAlignment="1">
      <alignment vertical="center"/>
    </xf>
    <xf numFmtId="164" fontId="8" fillId="0" borderId="7" xfId="0" applyNumberFormat="1" applyFont="1" applyBorder="1" applyAlignment="1">
      <alignment horizontal="center" vertical="top" wrapText="1"/>
    </xf>
    <xf numFmtId="0" fontId="10" fillId="0" borderId="0" xfId="0" applyFont="1" applyAlignment="1">
      <alignment horizontal="center" vertical="top" wrapText="1"/>
    </xf>
    <xf numFmtId="0" fontId="2" fillId="0" borderId="8" xfId="0" applyFont="1" applyBorder="1" applyAlignment="1">
      <alignment horizontal="center" vertical="top" wrapText="1"/>
    </xf>
    <xf numFmtId="0" fontId="2" fillId="0" borderId="8" xfId="0" applyFont="1" applyBorder="1" applyAlignment="1">
      <alignment vertical="top"/>
    </xf>
    <xf numFmtId="166" fontId="2" fillId="0" borderId="8" xfId="0" applyNumberFormat="1" applyFont="1" applyBorder="1" applyAlignment="1">
      <alignment vertical="top" wrapText="1"/>
    </xf>
    <xf numFmtId="0" fontId="8" fillId="0" borderId="9" xfId="0" applyFont="1" applyBorder="1" applyAlignment="1">
      <alignment vertical="top" wrapText="1"/>
    </xf>
    <xf numFmtId="0" fontId="2" fillId="0" borderId="0" xfId="0" applyFont="1" applyAlignment="1">
      <alignment vertical="top"/>
    </xf>
    <xf numFmtId="165" fontId="2" fillId="0" borderId="7" xfId="0" applyNumberFormat="1" applyFont="1" applyBorder="1" applyAlignment="1">
      <alignment vertical="top"/>
    </xf>
    <xf numFmtId="49" fontId="2" fillId="0" borderId="8" xfId="0" applyNumberFormat="1" applyFont="1" applyBorder="1" applyAlignment="1">
      <alignment vertical="top"/>
    </xf>
    <xf numFmtId="0" fontId="2" fillId="0" borderId="9" xfId="0" applyFont="1" applyBorder="1" applyAlignment="1">
      <alignment vertical="top"/>
    </xf>
    <xf numFmtId="165" fontId="2" fillId="0" borderId="10" xfId="0" applyNumberFormat="1" applyFont="1" applyBorder="1" applyAlignment="1">
      <alignment vertical="top"/>
    </xf>
    <xf numFmtId="49" fontId="2" fillId="0" borderId="11" xfId="0" applyNumberFormat="1"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xf>
    <xf numFmtId="1" fontId="2" fillId="2" borderId="0" xfId="0" applyNumberFormat="1" applyFont="1" applyFill="1"/>
    <xf numFmtId="0" fontId="2" fillId="2" borderId="0" xfId="0" applyFont="1" applyFill="1" applyAlignment="1">
      <alignment horizontal="left"/>
    </xf>
    <xf numFmtId="1" fontId="2" fillId="2" borderId="0" xfId="0" applyNumberFormat="1" applyFont="1" applyFill="1" applyProtection="1">
      <protection hidden="1"/>
    </xf>
    <xf numFmtId="0" fontId="4" fillId="2" borderId="0" xfId="0" applyFont="1" applyFill="1" applyAlignment="1">
      <alignment horizontal="left" vertical="top" wrapText="1"/>
    </xf>
    <xf numFmtId="0" fontId="12" fillId="2" borderId="0" xfId="0" applyFont="1" applyFill="1" applyAlignment="1">
      <alignment horizontal="left"/>
    </xf>
    <xf numFmtId="0" fontId="13" fillId="2" borderId="0" xfId="0" applyFont="1" applyFill="1" applyAlignment="1">
      <alignment horizontal="left"/>
    </xf>
    <xf numFmtId="0" fontId="2" fillId="2" borderId="0" xfId="0" applyFont="1" applyFill="1" applyAlignment="1">
      <alignment wrapText="1"/>
    </xf>
    <xf numFmtId="1" fontId="5" fillId="2" borderId="0" xfId="0" applyNumberFormat="1" applyFont="1" applyFill="1"/>
    <xf numFmtId="0" fontId="2" fillId="2" borderId="0" xfId="0" applyFont="1" applyFill="1" applyAlignment="1">
      <alignment vertical="center"/>
    </xf>
    <xf numFmtId="1" fontId="2" fillId="2" borderId="0" xfId="0" applyNumberFormat="1" applyFont="1" applyFill="1" applyAlignment="1" applyProtection="1">
      <alignment vertical="center"/>
      <protection hidden="1"/>
    </xf>
    <xf numFmtId="0" fontId="2" fillId="2" borderId="0" xfId="0" applyFont="1" applyFill="1" applyAlignment="1">
      <alignment horizontal="left" vertical="center"/>
    </xf>
    <xf numFmtId="0" fontId="7" fillId="2" borderId="0" xfId="0" applyFont="1" applyFill="1" applyAlignment="1">
      <alignment horizontal="center"/>
    </xf>
    <xf numFmtId="1" fontId="9" fillId="4" borderId="4" xfId="0" applyNumberFormat="1"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6" xfId="0" applyFont="1" applyFill="1" applyBorder="1" applyAlignment="1">
      <alignment horizontal="center" vertical="center" wrapText="1"/>
    </xf>
    <xf numFmtId="1" fontId="2" fillId="2" borderId="7" xfId="0" applyNumberFormat="1" applyFont="1" applyFill="1" applyBorder="1" applyAlignment="1">
      <alignment vertical="center" wrapText="1"/>
    </xf>
    <xf numFmtId="49" fontId="2" fillId="2" borderId="8" xfId="0" applyNumberFormat="1" applyFont="1" applyFill="1" applyBorder="1" applyAlignment="1">
      <alignment horizontal="left" vertical="top" wrapText="1"/>
    </xf>
    <xf numFmtId="0" fontId="14" fillId="2" borderId="8" xfId="0" applyFont="1" applyFill="1" applyBorder="1" applyAlignment="1">
      <alignment horizontal="left" vertical="center" wrapText="1"/>
    </xf>
    <xf numFmtId="1" fontId="2" fillId="2" borderId="7" xfId="0" applyNumberFormat="1" applyFont="1" applyFill="1" applyBorder="1" applyAlignment="1">
      <alignment vertical="center"/>
    </xf>
    <xf numFmtId="49" fontId="2" fillId="2" borderId="8" xfId="0" applyNumberFormat="1" applyFont="1" applyFill="1" applyBorder="1" applyAlignment="1">
      <alignment horizontal="left" vertical="center"/>
    </xf>
    <xf numFmtId="0" fontId="14" fillId="2" borderId="8" xfId="0" applyFont="1" applyFill="1" applyBorder="1" applyAlignment="1">
      <alignment horizontal="left" vertical="center"/>
    </xf>
    <xf numFmtId="0" fontId="15"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2" borderId="8" xfId="0" applyFont="1" applyFill="1" applyBorder="1" applyAlignment="1">
      <alignment horizontal="left" vertical="center"/>
    </xf>
    <xf numFmtId="0" fontId="7" fillId="2" borderId="0" xfId="0" applyFont="1" applyFill="1"/>
    <xf numFmtId="165" fontId="2" fillId="2" borderId="0" xfId="0" applyNumberFormat="1" applyFont="1" applyFill="1"/>
    <xf numFmtId="0" fontId="5" fillId="2" borderId="2" xfId="0" applyFont="1" applyFill="1" applyBorder="1" applyAlignment="1">
      <alignment horizontal="left" vertical="center" wrapText="1"/>
    </xf>
    <xf numFmtId="0" fontId="5" fillId="2" borderId="2" xfId="0" applyFont="1" applyFill="1" applyBorder="1" applyAlignment="1">
      <alignment vertical="center" wrapText="1"/>
    </xf>
    <xf numFmtId="0" fontId="5" fillId="2" borderId="0" xfId="0" applyFont="1" applyFill="1"/>
    <xf numFmtId="0" fontId="6" fillId="2" borderId="0" xfId="0" applyFont="1" applyFill="1"/>
    <xf numFmtId="0" fontId="2" fillId="2" borderId="14" xfId="0" applyFont="1" applyFill="1" applyBorder="1"/>
    <xf numFmtId="0" fontId="9" fillId="3" borderId="15" xfId="0" applyFont="1" applyFill="1" applyBorder="1" applyAlignment="1">
      <alignment horizontal="center" vertical="top" wrapText="1"/>
    </xf>
    <xf numFmtId="0" fontId="9" fillId="3" borderId="5" xfId="0" applyFont="1" applyFill="1" applyBorder="1" applyAlignment="1">
      <alignment horizontal="center" vertical="top" wrapText="1"/>
    </xf>
    <xf numFmtId="0" fontId="9" fillId="3" borderId="13" xfId="0" applyFont="1" applyFill="1" applyBorder="1" applyAlignment="1">
      <alignment horizontal="center" vertical="top" wrapText="1"/>
    </xf>
    <xf numFmtId="0" fontId="9" fillId="3" borderId="16" xfId="0" applyFont="1" applyFill="1" applyBorder="1" applyAlignment="1">
      <alignment horizontal="center" vertical="top" wrapText="1"/>
    </xf>
    <xf numFmtId="0" fontId="2" fillId="2" borderId="17" xfId="0" applyFont="1" applyFill="1" applyBorder="1" applyAlignment="1">
      <alignment horizontal="center" vertical="top" wrapText="1"/>
    </xf>
    <xf numFmtId="0" fontId="2" fillId="2" borderId="8" xfId="0" applyFont="1" applyFill="1" applyBorder="1" applyAlignment="1">
      <alignment vertical="top" wrapText="1"/>
    </xf>
    <xf numFmtId="0" fontId="2" fillId="2" borderId="8" xfId="0" applyFont="1" applyFill="1" applyBorder="1" applyAlignment="1">
      <alignment horizontal="center" vertical="top" wrapText="1"/>
    </xf>
    <xf numFmtId="0" fontId="2" fillId="2" borderId="18" xfId="0" applyFont="1" applyFill="1" applyBorder="1" applyAlignment="1">
      <alignment horizontal="center" vertical="top" wrapText="1"/>
    </xf>
    <xf numFmtId="0" fontId="2" fillId="2" borderId="17" xfId="0" applyFont="1" applyFill="1" applyBorder="1" applyAlignment="1">
      <alignment horizontal="center"/>
    </xf>
    <xf numFmtId="0" fontId="2" fillId="2" borderId="8" xfId="0" applyFont="1" applyFill="1" applyBorder="1"/>
    <xf numFmtId="0" fontId="2" fillId="2" borderId="8" xfId="0" applyFont="1" applyFill="1" applyBorder="1" applyAlignment="1">
      <alignment horizontal="center"/>
    </xf>
    <xf numFmtId="0" fontId="2" fillId="2" borderId="19" xfId="0" applyFont="1" applyFill="1" applyBorder="1" applyAlignment="1">
      <alignment horizontal="center"/>
    </xf>
    <xf numFmtId="0" fontId="2" fillId="2" borderId="18" xfId="0" applyFont="1" applyFill="1" applyBorder="1" applyAlignment="1">
      <alignment horizontal="center"/>
    </xf>
    <xf numFmtId="0" fontId="17" fillId="3" borderId="20" xfId="0" applyFont="1" applyFill="1" applyBorder="1" applyAlignment="1">
      <alignment horizontal="center"/>
    </xf>
    <xf numFmtId="0" fontId="9" fillId="3" borderId="11" xfId="0" applyFont="1" applyFill="1" applyBorder="1" applyAlignment="1">
      <alignment vertical="top" wrapText="1"/>
    </xf>
    <xf numFmtId="0" fontId="9" fillId="3" borderId="11" xfId="0" applyFont="1" applyFill="1" applyBorder="1" applyAlignment="1">
      <alignment horizontal="center" vertical="top" wrapText="1"/>
    </xf>
    <xf numFmtId="0" fontId="9" fillId="3" borderId="21" xfId="0" applyFont="1" applyFill="1" applyBorder="1" applyAlignment="1">
      <alignment horizontal="center" vertical="top" wrapText="1"/>
    </xf>
    <xf numFmtId="0" fontId="2" fillId="2" borderId="0" xfId="0" applyFont="1" applyFill="1" applyAlignment="1">
      <alignment horizontal="center"/>
    </xf>
    <xf numFmtId="10" fontId="2" fillId="2" borderId="0" xfId="0" applyNumberFormat="1" applyFont="1" applyFill="1" applyAlignment="1">
      <alignment horizontal="center"/>
    </xf>
    <xf numFmtId="9" fontId="2" fillId="2" borderId="0" xfId="0" applyNumberFormat="1" applyFont="1" applyFill="1" applyAlignment="1">
      <alignment horizontal="center"/>
    </xf>
    <xf numFmtId="0" fontId="5" fillId="2" borderId="0" xfId="0" applyFont="1" applyFill="1" applyAlignment="1">
      <alignment horizontal="left" vertical="top" wrapText="1"/>
    </xf>
    <xf numFmtId="2" fontId="18" fillId="2" borderId="0" xfId="0" applyNumberFormat="1" applyFont="1" applyFill="1" applyAlignment="1">
      <alignment horizontal="right" vertical="top" wrapText="1"/>
    </xf>
    <xf numFmtId="0" fontId="2" fillId="2" borderId="0" xfId="0" applyFont="1" applyFill="1" applyAlignment="1">
      <alignment vertical="top" wrapText="1"/>
    </xf>
    <xf numFmtId="0" fontId="19" fillId="2" borderId="0" xfId="0" applyFont="1" applyFill="1" applyAlignment="1">
      <alignment horizontal="center" wrapText="1"/>
    </xf>
    <xf numFmtId="0" fontId="20" fillId="2" borderId="0" xfId="0" applyFont="1" applyFill="1"/>
    <xf numFmtId="0" fontId="7" fillId="2" borderId="22" xfId="0" applyFont="1" applyFill="1" applyBorder="1" applyAlignment="1">
      <alignment horizontal="center" vertical="top" wrapText="1"/>
    </xf>
    <xf numFmtId="0" fontId="6" fillId="2" borderId="0" xfId="0" applyFont="1" applyFill="1" applyAlignment="1">
      <alignment wrapText="1"/>
    </xf>
    <xf numFmtId="0" fontId="6" fillId="2" borderId="0" xfId="0" applyFont="1" applyFill="1" applyAlignment="1">
      <alignment horizontal="left" wrapText="1"/>
    </xf>
    <xf numFmtId="0" fontId="20" fillId="2" borderId="0" xfId="0" applyFont="1" applyFill="1" applyAlignment="1">
      <alignment wrapText="1"/>
    </xf>
    <xf numFmtId="0" fontId="19" fillId="2" borderId="0" xfId="0" applyFont="1" applyFill="1"/>
    <xf numFmtId="0" fontId="7" fillId="2" borderId="24" xfId="0" applyFont="1" applyFill="1" applyBorder="1" applyAlignment="1">
      <alignment horizontal="center" vertical="top" wrapText="1"/>
    </xf>
    <xf numFmtId="0" fontId="0" fillId="0" borderId="0" xfId="0" applyAlignment="1">
      <alignment vertical="top" wrapText="1"/>
    </xf>
    <xf numFmtId="0" fontId="19" fillId="2" borderId="0" xfId="0" applyFont="1" applyFill="1" applyAlignment="1">
      <alignment vertical="top"/>
    </xf>
    <xf numFmtId="0" fontId="22" fillId="2" borderId="24" xfId="0" applyFont="1" applyFill="1" applyBorder="1" applyAlignment="1">
      <alignment horizontal="center" vertical="top" wrapText="1"/>
    </xf>
    <xf numFmtId="0" fontId="22" fillId="2" borderId="2" xfId="0" applyFont="1" applyFill="1" applyBorder="1" applyAlignment="1">
      <alignment horizontal="center" vertical="top" wrapText="1"/>
    </xf>
    <xf numFmtId="0" fontId="22" fillId="2" borderId="25" xfId="0" applyFont="1" applyFill="1" applyBorder="1" applyAlignment="1">
      <alignment horizontal="center" vertical="top" wrapText="1"/>
    </xf>
    <xf numFmtId="0" fontId="12" fillId="2" borderId="0" xfId="0" applyFont="1" applyFill="1" applyAlignment="1">
      <alignment horizontal="center" vertical="center" wrapText="1"/>
    </xf>
    <xf numFmtId="0" fontId="2" fillId="2" borderId="0" xfId="0" applyFont="1" applyFill="1" applyAlignment="1">
      <alignment horizontal="center" wrapText="1"/>
    </xf>
    <xf numFmtId="0" fontId="20" fillId="2" borderId="0" xfId="0" applyFont="1" applyFill="1" applyAlignment="1">
      <alignment horizontal="center" wrapText="1"/>
    </xf>
    <xf numFmtId="0" fontId="19" fillId="2" borderId="0" xfId="0" applyFont="1" applyFill="1" applyAlignment="1">
      <alignment vertical="top" wrapText="1"/>
    </xf>
    <xf numFmtId="0" fontId="2" fillId="2" borderId="2" xfId="0" applyFont="1" applyFill="1" applyBorder="1" applyAlignment="1">
      <alignment horizontal="center" vertical="top" wrapText="1"/>
    </xf>
    <xf numFmtId="0" fontId="2" fillId="2" borderId="25" xfId="0" applyFont="1" applyFill="1" applyBorder="1" applyAlignment="1">
      <alignment horizontal="center" vertical="top" wrapText="1"/>
    </xf>
    <xf numFmtId="0" fontId="19" fillId="2" borderId="0" xfId="0" applyFont="1" applyFill="1" applyAlignment="1">
      <alignment horizontal="center" vertical="center" wrapText="1"/>
    </xf>
    <xf numFmtId="0" fontId="22" fillId="2" borderId="26" xfId="0" applyFont="1" applyFill="1" applyBorder="1" applyAlignment="1">
      <alignment horizontal="center" vertical="top" wrapText="1"/>
    </xf>
    <xf numFmtId="0" fontId="2" fillId="2" borderId="27" xfId="0" applyFont="1" applyFill="1" applyBorder="1" applyAlignment="1">
      <alignment horizontal="center" vertical="top" wrapText="1"/>
    </xf>
    <xf numFmtId="0" fontId="2" fillId="2" borderId="28" xfId="0" applyFont="1" applyFill="1" applyBorder="1" applyAlignment="1">
      <alignment horizontal="center" vertical="top" wrapText="1"/>
    </xf>
    <xf numFmtId="0" fontId="9" fillId="6" borderId="2" xfId="0" applyFont="1" applyFill="1" applyBorder="1" applyAlignment="1">
      <alignment horizontal="center" vertical="center" wrapText="1"/>
    </xf>
    <xf numFmtId="0" fontId="13" fillId="2" borderId="0" xfId="0" applyFont="1" applyFill="1" applyAlignment="1">
      <alignment horizontal="center" vertical="center" wrapText="1"/>
    </xf>
    <xf numFmtId="0" fontId="7" fillId="7" borderId="29" xfId="0" applyFont="1" applyFill="1" applyBorder="1" applyAlignment="1">
      <alignment horizontal="left" vertical="center" wrapText="1"/>
    </xf>
    <xf numFmtId="0" fontId="7" fillId="7" borderId="29" xfId="0" applyFont="1" applyFill="1" applyBorder="1" applyAlignment="1">
      <alignment horizontal="left" vertical="center"/>
    </xf>
    <xf numFmtId="0" fontId="7" fillId="7" borderId="30" xfId="0" applyFont="1" applyFill="1" applyBorder="1" applyAlignment="1">
      <alignment horizontal="left" vertical="center"/>
    </xf>
    <xf numFmtId="0" fontId="7" fillId="7" borderId="31" xfId="0" applyFont="1" applyFill="1" applyBorder="1" applyAlignment="1">
      <alignment horizontal="left" vertical="center"/>
    </xf>
    <xf numFmtId="0" fontId="13" fillId="2" borderId="0" xfId="0" applyFont="1" applyFill="1" applyAlignment="1">
      <alignment horizontal="left" vertical="center"/>
    </xf>
    <xf numFmtId="0" fontId="2" fillId="2" borderId="2" xfId="0" applyFont="1" applyFill="1" applyBorder="1" applyAlignment="1">
      <alignment vertical="top" wrapText="1"/>
    </xf>
    <xf numFmtId="0" fontId="8" fillId="2" borderId="2" xfId="0" applyFont="1" applyFill="1" applyBorder="1" applyAlignment="1">
      <alignment vertical="top" wrapText="1"/>
    </xf>
    <xf numFmtId="0" fontId="8" fillId="2" borderId="2" xfId="0" applyFont="1" applyFill="1" applyBorder="1" applyAlignment="1">
      <alignment horizontal="left" vertical="top" wrapText="1"/>
    </xf>
    <xf numFmtId="0" fontId="20" fillId="2" borderId="0" xfId="0" applyFont="1" applyFill="1" applyAlignment="1">
      <alignment vertical="top" wrapText="1"/>
    </xf>
    <xf numFmtId="0" fontId="19" fillId="2" borderId="2" xfId="0" applyFont="1" applyFill="1" applyBorder="1" applyAlignment="1">
      <alignment horizontal="left" vertical="top" wrapText="1"/>
    </xf>
    <xf numFmtId="0" fontId="10" fillId="0" borderId="0" xfId="0" applyFont="1" applyAlignment="1">
      <alignment horizontal="left" vertical="top" wrapText="1"/>
    </xf>
    <xf numFmtId="0" fontId="24" fillId="0" borderId="0" xfId="0" applyFont="1" applyAlignment="1">
      <alignment vertical="top" wrapText="1"/>
    </xf>
    <xf numFmtId="0" fontId="23" fillId="0" borderId="0" xfId="0" applyFont="1" applyAlignment="1">
      <alignment vertical="top" wrapText="1"/>
    </xf>
    <xf numFmtId="0" fontId="2" fillId="2" borderId="23" xfId="0" applyFont="1" applyFill="1" applyBorder="1" applyAlignment="1">
      <alignment horizontal="left" vertical="top" wrapText="1"/>
    </xf>
    <xf numFmtId="0" fontId="2" fillId="2" borderId="2" xfId="0" applyFont="1" applyFill="1" applyBorder="1" applyAlignment="1">
      <alignment horizontal="left" vertical="top" wrapText="1"/>
    </xf>
    <xf numFmtId="0" fontId="21" fillId="5" borderId="0" xfId="0" applyFont="1" applyFill="1" applyAlignment="1">
      <alignment vertical="top" wrapText="1"/>
    </xf>
    <xf numFmtId="0" fontId="4"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applyAlignment="1">
      <alignment horizontal="left" vertical="center" wrapText="1"/>
    </xf>
    <xf numFmtId="0" fontId="15" fillId="2" borderId="8" xfId="0" applyFont="1" applyFill="1" applyBorder="1" applyAlignment="1">
      <alignment horizontal="center" vertical="center" wrapText="1"/>
    </xf>
    <xf numFmtId="0" fontId="2" fillId="2" borderId="9" xfId="0" applyFont="1" applyFill="1" applyBorder="1" applyAlignment="1">
      <alignment horizontal="left" vertical="center" wrapText="1"/>
    </xf>
    <xf numFmtId="1" fontId="5" fillId="2" borderId="1" xfId="0" applyNumberFormat="1" applyFont="1" applyFill="1" applyBorder="1" applyAlignment="1">
      <alignment vertical="top" wrapText="1"/>
    </xf>
    <xf numFmtId="0" fontId="6" fillId="2" borderId="2" xfId="0" applyFont="1" applyFill="1" applyBorder="1" applyAlignment="1">
      <alignment horizontal="left" vertical="top" wrapText="1"/>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5" fillId="2" borderId="2" xfId="0" applyFont="1" applyFill="1" applyBorder="1" applyAlignment="1">
      <alignment horizontal="left" vertical="top" wrapText="1"/>
    </xf>
    <xf numFmtId="164" fontId="6" fillId="2" borderId="2" xfId="0" applyNumberFormat="1" applyFont="1" applyFill="1" applyBorder="1" applyAlignment="1">
      <alignment horizontal="left" vertical="top" wrapText="1"/>
    </xf>
    <xf numFmtId="0" fontId="6" fillId="2" borderId="2" xfId="0" applyFont="1" applyFill="1" applyBorder="1" applyAlignment="1">
      <alignment horizontal="left" vertical="center" wrapText="1"/>
    </xf>
    <xf numFmtId="0" fontId="4" fillId="2" borderId="0" xfId="0" applyFont="1" applyFill="1" applyAlignment="1">
      <alignment horizontal="center" vertical="top" wrapText="1"/>
    </xf>
    <xf numFmtId="0" fontId="16" fillId="2" borderId="2" xfId="0" applyFont="1" applyFill="1" applyBorder="1" applyAlignment="1">
      <alignment horizontal="left" vertical="top" wrapText="1"/>
    </xf>
  </cellXfs>
  <cellStyles count="2">
    <cellStyle name="Normal" xfId="0" builtinId="0"/>
    <cellStyle name="標準_結合試験(AllOvertheWorld)"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8860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88920</xdr:rowOff>
    </xdr:from>
    <xdr:to>
      <xdr:col>0</xdr:col>
      <xdr:colOff>1922400</xdr:colOff>
      <xdr:row>1</xdr:row>
      <xdr:rowOff>752760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250920"/>
          <a:ext cx="1922400" cy="6638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7"/>
  <sheetViews>
    <sheetView showGridLines="0" zoomScale="85" zoomScaleNormal="85" workbookViewId="0">
      <selection activeCell="F5" sqref="F5"/>
    </sheetView>
  </sheetViews>
  <sheetFormatPr defaultColWidth="9" defaultRowHeight="13.2"/>
  <cols>
    <col min="1" max="1" width="28.109375" style="1" customWidth="1"/>
    <col min="2" max="2" width="10" style="2" customWidth="1"/>
    <col min="3" max="3" width="14.33203125" style="2" customWidth="1"/>
    <col min="4" max="4" width="20.77734375" style="2" customWidth="1"/>
    <col min="5" max="5" width="38" style="2" customWidth="1"/>
    <col min="6" max="6" width="48.109375" style="2" customWidth="1"/>
    <col min="7" max="256" width="9" style="2"/>
    <col min="257" max="257" width="28.109375" style="2" customWidth="1"/>
    <col min="258" max="258" width="10" style="2" customWidth="1"/>
    <col min="259" max="259" width="14.33203125" style="2" customWidth="1"/>
    <col min="260" max="260" width="8" style="2" customWidth="1"/>
    <col min="261" max="261" width="38" style="2" customWidth="1"/>
    <col min="262" max="262" width="48.109375" style="2" customWidth="1"/>
    <col min="263" max="512" width="9" style="2"/>
    <col min="513" max="513" width="28.109375" style="2" customWidth="1"/>
    <col min="514" max="514" width="10" style="2" customWidth="1"/>
    <col min="515" max="515" width="14.33203125" style="2" customWidth="1"/>
    <col min="516" max="516" width="8" style="2" customWidth="1"/>
    <col min="517" max="517" width="38" style="2" customWidth="1"/>
    <col min="518" max="518" width="48.109375" style="2" customWidth="1"/>
    <col min="519" max="768" width="9" style="2"/>
    <col min="769" max="769" width="28.109375" style="2" customWidth="1"/>
    <col min="770" max="770" width="10" style="2" customWidth="1"/>
    <col min="771" max="771" width="14.33203125" style="2" customWidth="1"/>
    <col min="772" max="772" width="8" style="2" customWidth="1"/>
    <col min="773" max="773" width="38" style="2" customWidth="1"/>
    <col min="774" max="774" width="48.109375" style="2" customWidth="1"/>
    <col min="775" max="1024" width="9" style="2"/>
    <col min="1025" max="1025" width="28.109375" style="2" customWidth="1"/>
    <col min="1026" max="1026" width="10" style="2" customWidth="1"/>
    <col min="1027" max="1027" width="14.33203125" style="2" customWidth="1"/>
    <col min="1028" max="1028" width="8" style="2" customWidth="1"/>
    <col min="1029" max="1029" width="38" style="2" customWidth="1"/>
    <col min="1030" max="1030" width="48.109375" style="2" customWidth="1"/>
    <col min="1031" max="1280" width="9" style="2"/>
    <col min="1281" max="1281" width="28.109375" style="2" customWidth="1"/>
    <col min="1282" max="1282" width="10" style="2" customWidth="1"/>
    <col min="1283" max="1283" width="14.33203125" style="2" customWidth="1"/>
    <col min="1284" max="1284" width="8" style="2" customWidth="1"/>
    <col min="1285" max="1285" width="38" style="2" customWidth="1"/>
    <col min="1286" max="1286" width="48.109375" style="2" customWidth="1"/>
    <col min="1287" max="1536" width="9" style="2"/>
    <col min="1537" max="1537" width="28.109375" style="2" customWidth="1"/>
    <col min="1538" max="1538" width="10" style="2" customWidth="1"/>
    <col min="1539" max="1539" width="14.33203125" style="2" customWidth="1"/>
    <col min="1540" max="1540" width="8" style="2" customWidth="1"/>
    <col min="1541" max="1541" width="38" style="2" customWidth="1"/>
    <col min="1542" max="1542" width="48.109375" style="2" customWidth="1"/>
    <col min="1543" max="1792" width="9" style="2"/>
    <col min="1793" max="1793" width="28.109375" style="2" customWidth="1"/>
    <col min="1794" max="1794" width="10" style="2" customWidth="1"/>
    <col min="1795" max="1795" width="14.33203125" style="2" customWidth="1"/>
    <col min="1796" max="1796" width="8" style="2" customWidth="1"/>
    <col min="1797" max="1797" width="38" style="2" customWidth="1"/>
    <col min="1798" max="1798" width="48.109375" style="2" customWidth="1"/>
    <col min="1799" max="2048" width="9" style="2"/>
    <col min="2049" max="2049" width="28.109375" style="2" customWidth="1"/>
    <col min="2050" max="2050" width="10" style="2" customWidth="1"/>
    <col min="2051" max="2051" width="14.33203125" style="2" customWidth="1"/>
    <col min="2052" max="2052" width="8" style="2" customWidth="1"/>
    <col min="2053" max="2053" width="38" style="2" customWidth="1"/>
    <col min="2054" max="2054" width="48.109375" style="2" customWidth="1"/>
    <col min="2055" max="2304" width="9" style="2"/>
    <col min="2305" max="2305" width="28.109375" style="2" customWidth="1"/>
    <col min="2306" max="2306" width="10" style="2" customWidth="1"/>
    <col min="2307" max="2307" width="14.33203125" style="2" customWidth="1"/>
    <col min="2308" max="2308" width="8" style="2" customWidth="1"/>
    <col min="2309" max="2309" width="38" style="2" customWidth="1"/>
    <col min="2310" max="2310" width="48.109375" style="2" customWidth="1"/>
    <col min="2311" max="2560" width="9" style="2"/>
    <col min="2561" max="2561" width="28.109375" style="2" customWidth="1"/>
    <col min="2562" max="2562" width="10" style="2" customWidth="1"/>
    <col min="2563" max="2563" width="14.33203125" style="2" customWidth="1"/>
    <col min="2564" max="2564" width="8" style="2" customWidth="1"/>
    <col min="2565" max="2565" width="38" style="2" customWidth="1"/>
    <col min="2566" max="2566" width="48.109375" style="2" customWidth="1"/>
    <col min="2567" max="2816" width="9" style="2"/>
    <col min="2817" max="2817" width="28.109375" style="2" customWidth="1"/>
    <col min="2818" max="2818" width="10" style="2" customWidth="1"/>
    <col min="2819" max="2819" width="14.33203125" style="2" customWidth="1"/>
    <col min="2820" max="2820" width="8" style="2" customWidth="1"/>
    <col min="2821" max="2821" width="38" style="2" customWidth="1"/>
    <col min="2822" max="2822" width="48.109375" style="2" customWidth="1"/>
    <col min="2823" max="3072" width="9" style="2"/>
    <col min="3073" max="3073" width="28.109375" style="2" customWidth="1"/>
    <col min="3074" max="3074" width="10" style="2" customWidth="1"/>
    <col min="3075" max="3075" width="14.33203125" style="2" customWidth="1"/>
    <col min="3076" max="3076" width="8" style="2" customWidth="1"/>
    <col min="3077" max="3077" width="38" style="2" customWidth="1"/>
    <col min="3078" max="3078" width="48.109375" style="2" customWidth="1"/>
    <col min="3079" max="3328" width="9" style="2"/>
    <col min="3329" max="3329" width="28.109375" style="2" customWidth="1"/>
    <col min="3330" max="3330" width="10" style="2" customWidth="1"/>
    <col min="3331" max="3331" width="14.33203125" style="2" customWidth="1"/>
    <col min="3332" max="3332" width="8" style="2" customWidth="1"/>
    <col min="3333" max="3333" width="38" style="2" customWidth="1"/>
    <col min="3334" max="3334" width="48.109375" style="2" customWidth="1"/>
    <col min="3335" max="3584" width="9" style="2"/>
    <col min="3585" max="3585" width="28.109375" style="2" customWidth="1"/>
    <col min="3586" max="3586" width="10" style="2" customWidth="1"/>
    <col min="3587" max="3587" width="14.33203125" style="2" customWidth="1"/>
    <col min="3588" max="3588" width="8" style="2" customWidth="1"/>
    <col min="3589" max="3589" width="38" style="2" customWidth="1"/>
    <col min="3590" max="3590" width="48.109375" style="2" customWidth="1"/>
    <col min="3591" max="3840" width="9" style="2"/>
    <col min="3841" max="3841" width="28.109375" style="2" customWidth="1"/>
    <col min="3842" max="3842" width="10" style="2" customWidth="1"/>
    <col min="3843" max="3843" width="14.33203125" style="2" customWidth="1"/>
    <col min="3844" max="3844" width="8" style="2" customWidth="1"/>
    <col min="3845" max="3845" width="38" style="2" customWidth="1"/>
    <col min="3846" max="3846" width="48.109375" style="2" customWidth="1"/>
    <col min="3847" max="4096" width="9" style="2"/>
    <col min="4097" max="4097" width="28.109375" style="2" customWidth="1"/>
    <col min="4098" max="4098" width="10" style="2" customWidth="1"/>
    <col min="4099" max="4099" width="14.33203125" style="2" customWidth="1"/>
    <col min="4100" max="4100" width="8" style="2" customWidth="1"/>
    <col min="4101" max="4101" width="38" style="2" customWidth="1"/>
    <col min="4102" max="4102" width="48.109375" style="2" customWidth="1"/>
    <col min="4103" max="4352" width="9" style="2"/>
    <col min="4353" max="4353" width="28.109375" style="2" customWidth="1"/>
    <col min="4354" max="4354" width="10" style="2" customWidth="1"/>
    <col min="4355" max="4355" width="14.33203125" style="2" customWidth="1"/>
    <col min="4356" max="4356" width="8" style="2" customWidth="1"/>
    <col min="4357" max="4357" width="38" style="2" customWidth="1"/>
    <col min="4358" max="4358" width="48.109375" style="2" customWidth="1"/>
    <col min="4359" max="4608" width="9" style="2"/>
    <col min="4609" max="4609" width="28.109375" style="2" customWidth="1"/>
    <col min="4610" max="4610" width="10" style="2" customWidth="1"/>
    <col min="4611" max="4611" width="14.33203125" style="2" customWidth="1"/>
    <col min="4612" max="4612" width="8" style="2" customWidth="1"/>
    <col min="4613" max="4613" width="38" style="2" customWidth="1"/>
    <col min="4614" max="4614" width="48.109375" style="2" customWidth="1"/>
    <col min="4615" max="4864" width="9" style="2"/>
    <col min="4865" max="4865" width="28.109375" style="2" customWidth="1"/>
    <col min="4866" max="4866" width="10" style="2" customWidth="1"/>
    <col min="4867" max="4867" width="14.33203125" style="2" customWidth="1"/>
    <col min="4868" max="4868" width="8" style="2" customWidth="1"/>
    <col min="4869" max="4869" width="38" style="2" customWidth="1"/>
    <col min="4870" max="4870" width="48.109375" style="2" customWidth="1"/>
    <col min="4871" max="5120" width="9" style="2"/>
    <col min="5121" max="5121" width="28.109375" style="2" customWidth="1"/>
    <col min="5122" max="5122" width="10" style="2" customWidth="1"/>
    <col min="5123" max="5123" width="14.33203125" style="2" customWidth="1"/>
    <col min="5124" max="5124" width="8" style="2" customWidth="1"/>
    <col min="5125" max="5125" width="38" style="2" customWidth="1"/>
    <col min="5126" max="5126" width="48.109375" style="2" customWidth="1"/>
    <col min="5127" max="5376" width="9" style="2"/>
    <col min="5377" max="5377" width="28.109375" style="2" customWidth="1"/>
    <col min="5378" max="5378" width="10" style="2" customWidth="1"/>
    <col min="5379" max="5379" width="14.33203125" style="2" customWidth="1"/>
    <col min="5380" max="5380" width="8" style="2" customWidth="1"/>
    <col min="5381" max="5381" width="38" style="2" customWidth="1"/>
    <col min="5382" max="5382" width="48.109375" style="2" customWidth="1"/>
    <col min="5383" max="5632" width="9" style="2"/>
    <col min="5633" max="5633" width="28.109375" style="2" customWidth="1"/>
    <col min="5634" max="5634" width="10" style="2" customWidth="1"/>
    <col min="5635" max="5635" width="14.33203125" style="2" customWidth="1"/>
    <col min="5636" max="5636" width="8" style="2" customWidth="1"/>
    <col min="5637" max="5637" width="38" style="2" customWidth="1"/>
    <col min="5638" max="5638" width="48.109375" style="2" customWidth="1"/>
    <col min="5639" max="5888" width="9" style="2"/>
    <col min="5889" max="5889" width="28.109375" style="2" customWidth="1"/>
    <col min="5890" max="5890" width="10" style="2" customWidth="1"/>
    <col min="5891" max="5891" width="14.33203125" style="2" customWidth="1"/>
    <col min="5892" max="5892" width="8" style="2" customWidth="1"/>
    <col min="5893" max="5893" width="38" style="2" customWidth="1"/>
    <col min="5894" max="5894" width="48.109375" style="2" customWidth="1"/>
    <col min="5895" max="6144" width="9" style="2"/>
    <col min="6145" max="6145" width="28.109375" style="2" customWidth="1"/>
    <col min="6146" max="6146" width="10" style="2" customWidth="1"/>
    <col min="6147" max="6147" width="14.33203125" style="2" customWidth="1"/>
    <col min="6148" max="6148" width="8" style="2" customWidth="1"/>
    <col min="6149" max="6149" width="38" style="2" customWidth="1"/>
    <col min="6150" max="6150" width="48.109375" style="2" customWidth="1"/>
    <col min="6151" max="6400" width="9" style="2"/>
    <col min="6401" max="6401" width="28.109375" style="2" customWidth="1"/>
    <col min="6402" max="6402" width="10" style="2" customWidth="1"/>
    <col min="6403" max="6403" width="14.33203125" style="2" customWidth="1"/>
    <col min="6404" max="6404" width="8" style="2" customWidth="1"/>
    <col min="6405" max="6405" width="38" style="2" customWidth="1"/>
    <col min="6406" max="6406" width="48.109375" style="2" customWidth="1"/>
    <col min="6407" max="6656" width="9" style="2"/>
    <col min="6657" max="6657" width="28.109375" style="2" customWidth="1"/>
    <col min="6658" max="6658" width="10" style="2" customWidth="1"/>
    <col min="6659" max="6659" width="14.33203125" style="2" customWidth="1"/>
    <col min="6660" max="6660" width="8" style="2" customWidth="1"/>
    <col min="6661" max="6661" width="38" style="2" customWidth="1"/>
    <col min="6662" max="6662" width="48.109375" style="2" customWidth="1"/>
    <col min="6663" max="6912" width="9" style="2"/>
    <col min="6913" max="6913" width="28.109375" style="2" customWidth="1"/>
    <col min="6914" max="6914" width="10" style="2" customWidth="1"/>
    <col min="6915" max="6915" width="14.33203125" style="2" customWidth="1"/>
    <col min="6916" max="6916" width="8" style="2" customWidth="1"/>
    <col min="6917" max="6917" width="38" style="2" customWidth="1"/>
    <col min="6918" max="6918" width="48.109375" style="2" customWidth="1"/>
    <col min="6919" max="7168" width="9" style="2"/>
    <col min="7169" max="7169" width="28.109375" style="2" customWidth="1"/>
    <col min="7170" max="7170" width="10" style="2" customWidth="1"/>
    <col min="7171" max="7171" width="14.33203125" style="2" customWidth="1"/>
    <col min="7172" max="7172" width="8" style="2" customWidth="1"/>
    <col min="7173" max="7173" width="38" style="2" customWidth="1"/>
    <col min="7174" max="7174" width="48.109375" style="2" customWidth="1"/>
    <col min="7175" max="7424" width="9" style="2"/>
    <col min="7425" max="7425" width="28.109375" style="2" customWidth="1"/>
    <col min="7426" max="7426" width="10" style="2" customWidth="1"/>
    <col min="7427" max="7427" width="14.33203125" style="2" customWidth="1"/>
    <col min="7428" max="7428" width="8" style="2" customWidth="1"/>
    <col min="7429" max="7429" width="38" style="2" customWidth="1"/>
    <col min="7430" max="7430" width="48.109375" style="2" customWidth="1"/>
    <col min="7431" max="7680" width="9" style="2"/>
    <col min="7681" max="7681" width="28.109375" style="2" customWidth="1"/>
    <col min="7682" max="7682" width="10" style="2" customWidth="1"/>
    <col min="7683" max="7683" width="14.33203125" style="2" customWidth="1"/>
    <col min="7684" max="7684" width="8" style="2" customWidth="1"/>
    <col min="7685" max="7685" width="38" style="2" customWidth="1"/>
    <col min="7686" max="7686" width="48.109375" style="2" customWidth="1"/>
    <col min="7687" max="7936" width="9" style="2"/>
    <col min="7937" max="7937" width="28.109375" style="2" customWidth="1"/>
    <col min="7938" max="7938" width="10" style="2" customWidth="1"/>
    <col min="7939" max="7939" width="14.33203125" style="2" customWidth="1"/>
    <col min="7940" max="7940" width="8" style="2" customWidth="1"/>
    <col min="7941" max="7941" width="38" style="2" customWidth="1"/>
    <col min="7942" max="7942" width="48.109375" style="2" customWidth="1"/>
    <col min="7943" max="8192" width="9" style="2"/>
    <col min="8193" max="8193" width="28.109375" style="2" customWidth="1"/>
    <col min="8194" max="8194" width="10" style="2" customWidth="1"/>
    <col min="8195" max="8195" width="14.33203125" style="2" customWidth="1"/>
    <col min="8196" max="8196" width="8" style="2" customWidth="1"/>
    <col min="8197" max="8197" width="38" style="2" customWidth="1"/>
    <col min="8198" max="8198" width="48.109375" style="2" customWidth="1"/>
    <col min="8199" max="8448" width="9" style="2"/>
    <col min="8449" max="8449" width="28.109375" style="2" customWidth="1"/>
    <col min="8450" max="8450" width="10" style="2" customWidth="1"/>
    <col min="8451" max="8451" width="14.33203125" style="2" customWidth="1"/>
    <col min="8452" max="8452" width="8" style="2" customWidth="1"/>
    <col min="8453" max="8453" width="38" style="2" customWidth="1"/>
    <col min="8454" max="8454" width="48.109375" style="2" customWidth="1"/>
    <col min="8455" max="8704" width="9" style="2"/>
    <col min="8705" max="8705" width="28.109375" style="2" customWidth="1"/>
    <col min="8706" max="8706" width="10" style="2" customWidth="1"/>
    <col min="8707" max="8707" width="14.33203125" style="2" customWidth="1"/>
    <col min="8708" max="8708" width="8" style="2" customWidth="1"/>
    <col min="8709" max="8709" width="38" style="2" customWidth="1"/>
    <col min="8710" max="8710" width="48.109375" style="2" customWidth="1"/>
    <col min="8711" max="8960" width="9" style="2"/>
    <col min="8961" max="8961" width="28.109375" style="2" customWidth="1"/>
    <col min="8962" max="8962" width="10" style="2" customWidth="1"/>
    <col min="8963" max="8963" width="14.33203125" style="2" customWidth="1"/>
    <col min="8964" max="8964" width="8" style="2" customWidth="1"/>
    <col min="8965" max="8965" width="38" style="2" customWidth="1"/>
    <col min="8966" max="8966" width="48.109375" style="2" customWidth="1"/>
    <col min="8967" max="9216" width="9" style="2"/>
    <col min="9217" max="9217" width="28.109375" style="2" customWidth="1"/>
    <col min="9218" max="9218" width="10" style="2" customWidth="1"/>
    <col min="9219" max="9219" width="14.33203125" style="2" customWidth="1"/>
    <col min="9220" max="9220" width="8" style="2" customWidth="1"/>
    <col min="9221" max="9221" width="38" style="2" customWidth="1"/>
    <col min="9222" max="9222" width="48.109375" style="2" customWidth="1"/>
    <col min="9223" max="9472" width="9" style="2"/>
    <col min="9473" max="9473" width="28.109375" style="2" customWidth="1"/>
    <col min="9474" max="9474" width="10" style="2" customWidth="1"/>
    <col min="9475" max="9475" width="14.33203125" style="2" customWidth="1"/>
    <col min="9476" max="9476" width="8" style="2" customWidth="1"/>
    <col min="9477" max="9477" width="38" style="2" customWidth="1"/>
    <col min="9478" max="9478" width="48.109375" style="2" customWidth="1"/>
    <col min="9479" max="9728" width="9" style="2"/>
    <col min="9729" max="9729" width="28.109375" style="2" customWidth="1"/>
    <col min="9730" max="9730" width="10" style="2" customWidth="1"/>
    <col min="9731" max="9731" width="14.33203125" style="2" customWidth="1"/>
    <col min="9732" max="9732" width="8" style="2" customWidth="1"/>
    <col min="9733" max="9733" width="38" style="2" customWidth="1"/>
    <col min="9734" max="9734" width="48.109375" style="2" customWidth="1"/>
    <col min="9735" max="9984" width="9" style="2"/>
    <col min="9985" max="9985" width="28.109375" style="2" customWidth="1"/>
    <col min="9986" max="9986" width="10" style="2" customWidth="1"/>
    <col min="9987" max="9987" width="14.33203125" style="2" customWidth="1"/>
    <col min="9988" max="9988" width="8" style="2" customWidth="1"/>
    <col min="9989" max="9989" width="38" style="2" customWidth="1"/>
    <col min="9990" max="9990" width="48.109375" style="2" customWidth="1"/>
    <col min="9991" max="10240" width="9" style="2"/>
    <col min="10241" max="10241" width="28.109375" style="2" customWidth="1"/>
    <col min="10242" max="10242" width="10" style="2" customWidth="1"/>
    <col min="10243" max="10243" width="14.33203125" style="2" customWidth="1"/>
    <col min="10244" max="10244" width="8" style="2" customWidth="1"/>
    <col min="10245" max="10245" width="38" style="2" customWidth="1"/>
    <col min="10246" max="10246" width="48.109375" style="2" customWidth="1"/>
    <col min="10247" max="10496" width="9" style="2"/>
    <col min="10497" max="10497" width="28.109375" style="2" customWidth="1"/>
    <col min="10498" max="10498" width="10" style="2" customWidth="1"/>
    <col min="10499" max="10499" width="14.33203125" style="2" customWidth="1"/>
    <col min="10500" max="10500" width="8" style="2" customWidth="1"/>
    <col min="10501" max="10501" width="38" style="2" customWidth="1"/>
    <col min="10502" max="10502" width="48.109375" style="2" customWidth="1"/>
    <col min="10503" max="10752" width="9" style="2"/>
    <col min="10753" max="10753" width="28.109375" style="2" customWidth="1"/>
    <col min="10754" max="10754" width="10" style="2" customWidth="1"/>
    <col min="10755" max="10755" width="14.33203125" style="2" customWidth="1"/>
    <col min="10756" max="10756" width="8" style="2" customWidth="1"/>
    <col min="10757" max="10757" width="38" style="2" customWidth="1"/>
    <col min="10758" max="10758" width="48.109375" style="2" customWidth="1"/>
    <col min="10759" max="11008" width="9" style="2"/>
    <col min="11009" max="11009" width="28.109375" style="2" customWidth="1"/>
    <col min="11010" max="11010" width="10" style="2" customWidth="1"/>
    <col min="11011" max="11011" width="14.33203125" style="2" customWidth="1"/>
    <col min="11012" max="11012" width="8" style="2" customWidth="1"/>
    <col min="11013" max="11013" width="38" style="2" customWidth="1"/>
    <col min="11014" max="11014" width="48.109375" style="2" customWidth="1"/>
    <col min="11015" max="11264" width="9" style="2"/>
    <col min="11265" max="11265" width="28.109375" style="2" customWidth="1"/>
    <col min="11266" max="11266" width="10" style="2" customWidth="1"/>
    <col min="11267" max="11267" width="14.33203125" style="2" customWidth="1"/>
    <col min="11268" max="11268" width="8" style="2" customWidth="1"/>
    <col min="11269" max="11269" width="38" style="2" customWidth="1"/>
    <col min="11270" max="11270" width="48.109375" style="2" customWidth="1"/>
    <col min="11271" max="11520" width="9" style="2"/>
    <col min="11521" max="11521" width="28.109375" style="2" customWidth="1"/>
    <col min="11522" max="11522" width="10" style="2" customWidth="1"/>
    <col min="11523" max="11523" width="14.33203125" style="2" customWidth="1"/>
    <col min="11524" max="11524" width="8" style="2" customWidth="1"/>
    <col min="11525" max="11525" width="38" style="2" customWidth="1"/>
    <col min="11526" max="11526" width="48.109375" style="2" customWidth="1"/>
    <col min="11527" max="11776" width="9" style="2"/>
    <col min="11777" max="11777" width="28.109375" style="2" customWidth="1"/>
    <col min="11778" max="11778" width="10" style="2" customWidth="1"/>
    <col min="11779" max="11779" width="14.33203125" style="2" customWidth="1"/>
    <col min="11780" max="11780" width="8" style="2" customWidth="1"/>
    <col min="11781" max="11781" width="38" style="2" customWidth="1"/>
    <col min="11782" max="11782" width="48.109375" style="2" customWidth="1"/>
    <col min="11783" max="12032" width="9" style="2"/>
    <col min="12033" max="12033" width="28.109375" style="2" customWidth="1"/>
    <col min="12034" max="12034" width="10" style="2" customWidth="1"/>
    <col min="12035" max="12035" width="14.33203125" style="2" customWidth="1"/>
    <col min="12036" max="12036" width="8" style="2" customWidth="1"/>
    <col min="12037" max="12037" width="38" style="2" customWidth="1"/>
    <col min="12038" max="12038" width="48.109375" style="2" customWidth="1"/>
    <col min="12039" max="12288" width="9" style="2"/>
    <col min="12289" max="12289" width="28.109375" style="2" customWidth="1"/>
    <col min="12290" max="12290" width="10" style="2" customWidth="1"/>
    <col min="12291" max="12291" width="14.33203125" style="2" customWidth="1"/>
    <col min="12292" max="12292" width="8" style="2" customWidth="1"/>
    <col min="12293" max="12293" width="38" style="2" customWidth="1"/>
    <col min="12294" max="12294" width="48.109375" style="2" customWidth="1"/>
    <col min="12295" max="12544" width="9" style="2"/>
    <col min="12545" max="12545" width="28.109375" style="2" customWidth="1"/>
    <col min="12546" max="12546" width="10" style="2" customWidth="1"/>
    <col min="12547" max="12547" width="14.33203125" style="2" customWidth="1"/>
    <col min="12548" max="12548" width="8" style="2" customWidth="1"/>
    <col min="12549" max="12549" width="38" style="2" customWidth="1"/>
    <col min="12550" max="12550" width="48.109375" style="2" customWidth="1"/>
    <col min="12551" max="12800" width="9" style="2"/>
    <col min="12801" max="12801" width="28.109375" style="2" customWidth="1"/>
    <col min="12802" max="12802" width="10" style="2" customWidth="1"/>
    <col min="12803" max="12803" width="14.33203125" style="2" customWidth="1"/>
    <col min="12804" max="12804" width="8" style="2" customWidth="1"/>
    <col min="12805" max="12805" width="38" style="2" customWidth="1"/>
    <col min="12806" max="12806" width="48.109375" style="2" customWidth="1"/>
    <col min="12807" max="13056" width="9" style="2"/>
    <col min="13057" max="13057" width="28.109375" style="2" customWidth="1"/>
    <col min="13058" max="13058" width="10" style="2" customWidth="1"/>
    <col min="13059" max="13059" width="14.33203125" style="2" customWidth="1"/>
    <col min="13060" max="13060" width="8" style="2" customWidth="1"/>
    <col min="13061" max="13061" width="38" style="2" customWidth="1"/>
    <col min="13062" max="13062" width="48.109375" style="2" customWidth="1"/>
    <col min="13063" max="13312" width="9" style="2"/>
    <col min="13313" max="13313" width="28.109375" style="2" customWidth="1"/>
    <col min="13314" max="13314" width="10" style="2" customWidth="1"/>
    <col min="13315" max="13315" width="14.33203125" style="2" customWidth="1"/>
    <col min="13316" max="13316" width="8" style="2" customWidth="1"/>
    <col min="13317" max="13317" width="38" style="2" customWidth="1"/>
    <col min="13318" max="13318" width="48.109375" style="2" customWidth="1"/>
    <col min="13319" max="13568" width="9" style="2"/>
    <col min="13569" max="13569" width="28.109375" style="2" customWidth="1"/>
    <col min="13570" max="13570" width="10" style="2" customWidth="1"/>
    <col min="13571" max="13571" width="14.33203125" style="2" customWidth="1"/>
    <col min="13572" max="13572" width="8" style="2" customWidth="1"/>
    <col min="13573" max="13573" width="38" style="2" customWidth="1"/>
    <col min="13574" max="13574" width="48.109375" style="2" customWidth="1"/>
    <col min="13575" max="13824" width="9" style="2"/>
    <col min="13825" max="13825" width="28.109375" style="2" customWidth="1"/>
    <col min="13826" max="13826" width="10" style="2" customWidth="1"/>
    <col min="13827" max="13827" width="14.33203125" style="2" customWidth="1"/>
    <col min="13828" max="13828" width="8" style="2" customWidth="1"/>
    <col min="13829" max="13829" width="38" style="2" customWidth="1"/>
    <col min="13830" max="13830" width="48.109375" style="2" customWidth="1"/>
    <col min="13831" max="14080" width="9" style="2"/>
    <col min="14081" max="14081" width="28.109375" style="2" customWidth="1"/>
    <col min="14082" max="14082" width="10" style="2" customWidth="1"/>
    <col min="14083" max="14083" width="14.33203125" style="2" customWidth="1"/>
    <col min="14084" max="14084" width="8" style="2" customWidth="1"/>
    <col min="14085" max="14085" width="38" style="2" customWidth="1"/>
    <col min="14086" max="14086" width="48.109375" style="2" customWidth="1"/>
    <col min="14087" max="14336" width="9" style="2"/>
    <col min="14337" max="14337" width="28.109375" style="2" customWidth="1"/>
    <col min="14338" max="14338" width="10" style="2" customWidth="1"/>
    <col min="14339" max="14339" width="14.33203125" style="2" customWidth="1"/>
    <col min="14340" max="14340" width="8" style="2" customWidth="1"/>
    <col min="14341" max="14341" width="38" style="2" customWidth="1"/>
    <col min="14342" max="14342" width="48.109375" style="2" customWidth="1"/>
    <col min="14343" max="14592" width="9" style="2"/>
    <col min="14593" max="14593" width="28.109375" style="2" customWidth="1"/>
    <col min="14594" max="14594" width="10" style="2" customWidth="1"/>
    <col min="14595" max="14595" width="14.33203125" style="2" customWidth="1"/>
    <col min="14596" max="14596" width="8" style="2" customWidth="1"/>
    <col min="14597" max="14597" width="38" style="2" customWidth="1"/>
    <col min="14598" max="14598" width="48.109375" style="2" customWidth="1"/>
    <col min="14599" max="14848" width="9" style="2"/>
    <col min="14849" max="14849" width="28.109375" style="2" customWidth="1"/>
    <col min="14850" max="14850" width="10" style="2" customWidth="1"/>
    <col min="14851" max="14851" width="14.33203125" style="2" customWidth="1"/>
    <col min="14852" max="14852" width="8" style="2" customWidth="1"/>
    <col min="14853" max="14853" width="38" style="2" customWidth="1"/>
    <col min="14854" max="14854" width="48.109375" style="2" customWidth="1"/>
    <col min="14855" max="15104" width="9" style="2"/>
    <col min="15105" max="15105" width="28.109375" style="2" customWidth="1"/>
    <col min="15106" max="15106" width="10" style="2" customWidth="1"/>
    <col min="15107" max="15107" width="14.33203125" style="2" customWidth="1"/>
    <col min="15108" max="15108" width="8" style="2" customWidth="1"/>
    <col min="15109" max="15109" width="38" style="2" customWidth="1"/>
    <col min="15110" max="15110" width="48.109375" style="2" customWidth="1"/>
    <col min="15111" max="15360" width="9" style="2"/>
    <col min="15361" max="15361" width="28.109375" style="2" customWidth="1"/>
    <col min="15362" max="15362" width="10" style="2" customWidth="1"/>
    <col min="15363" max="15363" width="14.33203125" style="2" customWidth="1"/>
    <col min="15364" max="15364" width="8" style="2" customWidth="1"/>
    <col min="15365" max="15365" width="38" style="2" customWidth="1"/>
    <col min="15366" max="15366" width="48.109375" style="2" customWidth="1"/>
    <col min="15367" max="15616" width="9" style="2"/>
    <col min="15617" max="15617" width="28.109375" style="2" customWidth="1"/>
    <col min="15618" max="15618" width="10" style="2" customWidth="1"/>
    <col min="15619" max="15619" width="14.33203125" style="2" customWidth="1"/>
    <col min="15620" max="15620" width="8" style="2" customWidth="1"/>
    <col min="15621" max="15621" width="38" style="2" customWidth="1"/>
    <col min="15622" max="15622" width="48.109375" style="2" customWidth="1"/>
    <col min="15623" max="15872" width="9" style="2"/>
    <col min="15873" max="15873" width="28.109375" style="2" customWidth="1"/>
    <col min="15874" max="15874" width="10" style="2" customWidth="1"/>
    <col min="15875" max="15875" width="14.33203125" style="2" customWidth="1"/>
    <col min="15876" max="15876" width="8" style="2" customWidth="1"/>
    <col min="15877" max="15877" width="38" style="2" customWidth="1"/>
    <col min="15878" max="15878" width="48.109375" style="2" customWidth="1"/>
    <col min="15879" max="16128" width="9" style="2"/>
    <col min="16129" max="16129" width="28.109375" style="2" customWidth="1"/>
    <col min="16130" max="16130" width="10" style="2" customWidth="1"/>
    <col min="16131" max="16131" width="14.33203125" style="2" customWidth="1"/>
    <col min="16132" max="16132" width="8" style="2" customWidth="1"/>
    <col min="16133" max="16133" width="38" style="2" customWidth="1"/>
    <col min="16134" max="16134" width="48.109375" style="2" customWidth="1"/>
    <col min="16135" max="16384" width="9" style="2"/>
  </cols>
  <sheetData>
    <row r="2" spans="1:6" s="4" customFormat="1" ht="75.75" customHeight="1">
      <c r="A2" s="3"/>
      <c r="B2" s="131" t="s">
        <v>0</v>
      </c>
      <c r="C2" s="131"/>
      <c r="D2" s="131"/>
      <c r="E2" s="131"/>
      <c r="F2" s="131"/>
    </row>
    <row r="3" spans="1:6" ht="12.75" customHeight="1">
      <c r="A3" s="5"/>
      <c r="B3" s="6"/>
      <c r="E3" s="7"/>
    </row>
    <row r="4" spans="1:6" ht="14.25" customHeight="1">
      <c r="A4" s="8" t="s">
        <v>1</v>
      </c>
      <c r="B4" s="132" t="s">
        <v>2</v>
      </c>
      <c r="C4" s="132"/>
      <c r="D4" s="132"/>
      <c r="E4" s="8" t="s">
        <v>3</v>
      </c>
      <c r="F4" s="9" t="s">
        <v>4</v>
      </c>
    </row>
    <row r="5" spans="1:6" ht="14.25" customHeight="1">
      <c r="A5" s="8" t="s">
        <v>5</v>
      </c>
      <c r="B5" s="132" t="s">
        <v>6</v>
      </c>
      <c r="C5" s="132"/>
      <c r="D5" s="132"/>
      <c r="E5" s="8" t="s">
        <v>7</v>
      </c>
      <c r="F5" s="10">
        <v>46207</v>
      </c>
    </row>
    <row r="6" spans="1:6" ht="15.75" customHeight="1">
      <c r="A6" s="11" t="s">
        <v>8</v>
      </c>
      <c r="B6" s="133" t="str">
        <f>B5&amp;"_"&amp;"ST"&amp;"_"&amp;"v1.0"</f>
        <v>PentaPlex_ST_v1.0</v>
      </c>
      <c r="C6" s="133"/>
      <c r="D6" s="133"/>
      <c r="E6" s="8" t="s">
        <v>9</v>
      </c>
      <c r="F6" s="12" t="s">
        <v>10</v>
      </c>
    </row>
    <row r="7" spans="1:6" ht="12.75" customHeight="1">
      <c r="A7" s="13"/>
      <c r="B7" s="14"/>
      <c r="E7" s="15"/>
      <c r="F7" s="6"/>
    </row>
    <row r="8" spans="1:6" ht="12.75" customHeight="1">
      <c r="A8" s="2"/>
    </row>
    <row r="9" spans="1:6" ht="12.75" customHeight="1">
      <c r="A9" s="16" t="s">
        <v>11</v>
      </c>
    </row>
    <row r="10" spans="1:6" s="20" customFormat="1" ht="12.75" customHeight="1">
      <c r="A10" s="17" t="s">
        <v>12</v>
      </c>
      <c r="B10" s="18" t="s">
        <v>9</v>
      </c>
      <c r="C10" s="18" t="s">
        <v>13</v>
      </c>
      <c r="D10" s="18" t="s">
        <v>14</v>
      </c>
      <c r="E10" s="18" t="s">
        <v>15</v>
      </c>
      <c r="F10" s="19" t="s">
        <v>16</v>
      </c>
    </row>
    <row r="11" spans="1:6" s="27" customFormat="1" ht="26.25" customHeight="1">
      <c r="A11" s="21">
        <v>46207</v>
      </c>
      <c r="B11" s="22" t="s">
        <v>10</v>
      </c>
      <c r="C11" s="23" t="s">
        <v>17</v>
      </c>
      <c r="D11" s="24"/>
      <c r="E11" s="25" t="s">
        <v>18</v>
      </c>
      <c r="F11" s="26" t="s">
        <v>19</v>
      </c>
    </row>
    <row r="12" spans="1:6" s="27" customFormat="1" ht="21.75" customHeight="1">
      <c r="A12" s="28"/>
      <c r="B12" s="29"/>
      <c r="C12" s="24"/>
      <c r="D12" s="24"/>
      <c r="E12" s="24"/>
      <c r="F12" s="30"/>
    </row>
    <row r="13" spans="1:6" s="27" customFormat="1" ht="19.5" customHeight="1">
      <c r="A13" s="28"/>
      <c r="B13" s="29"/>
      <c r="C13" s="24"/>
      <c r="D13" s="24"/>
      <c r="E13" s="24"/>
      <c r="F13" s="30"/>
    </row>
    <row r="14" spans="1:6" s="27" customFormat="1" ht="21.75" customHeight="1">
      <c r="A14" s="28"/>
      <c r="B14" s="29"/>
      <c r="C14" s="24"/>
      <c r="D14" s="24"/>
      <c r="E14" s="24"/>
      <c r="F14" s="30"/>
    </row>
    <row r="15" spans="1:6" s="27" customFormat="1" ht="19.5" customHeight="1">
      <c r="A15" s="28"/>
      <c r="B15" s="29"/>
      <c r="C15" s="24"/>
      <c r="D15" s="24"/>
      <c r="E15" s="24"/>
      <c r="F15" s="30"/>
    </row>
    <row r="16" spans="1:6" s="27" customFormat="1" ht="21.75" customHeight="1">
      <c r="A16" s="28"/>
      <c r="B16" s="29"/>
      <c r="C16" s="24"/>
      <c r="D16" s="24"/>
      <c r="E16" s="24"/>
      <c r="F16" s="30"/>
    </row>
    <row r="17" spans="1:6" s="27" customFormat="1" ht="19.5" customHeight="1">
      <c r="A17" s="31"/>
      <c r="B17" s="32"/>
      <c r="C17" s="33"/>
      <c r="D17" s="33"/>
      <c r="E17" s="33"/>
      <c r="F17" s="34"/>
    </row>
  </sheetData>
  <mergeCells count="4">
    <mergeCell ref="B2:F2"/>
    <mergeCell ref="B4:D4"/>
    <mergeCell ref="B5:D5"/>
    <mergeCell ref="B6:D6"/>
  </mergeCells>
  <pageMargins left="0.47013888888888899" right="0.47013888888888899" top="0.5" bottom="0.35138888888888897" header="0.511811023622047" footer="0.17013888888888901"/>
  <pageSetup paperSize="9" orientation="landscape" horizontalDpi="300" verticalDpi="300"/>
  <headerFooter>
    <oddFooter>&amp;L&amp;"Tahoma,Regular"&amp;8 02ae-BM/PM/HDCV/FSOFT v2/1&amp;C&amp;"Tahoma,Regular"&amp;8 Internal use&amp;R&amp;"tahomaTahoma,Regular"&amp;8 &amp;P/&amp;N</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2"/>
  <sheetViews>
    <sheetView zoomScaleNormal="100" workbookViewId="0">
      <selection activeCell="D9" sqref="D9"/>
    </sheetView>
  </sheetViews>
  <sheetFormatPr defaultColWidth="9" defaultRowHeight="13.2"/>
  <cols>
    <col min="1" max="1" width="1.33203125" style="7" customWidth="1"/>
    <col min="2" max="2" width="6.44140625" style="35" customWidth="1"/>
    <col min="3" max="3" width="26.44140625" style="36" customWidth="1"/>
    <col min="4" max="4" width="20.77734375" style="36" customWidth="1"/>
    <col min="5" max="5" width="40.77734375" style="36" customWidth="1"/>
    <col min="6" max="6" width="30.6640625" style="36" customWidth="1"/>
    <col min="7" max="16384" width="9" style="7"/>
  </cols>
  <sheetData>
    <row r="1" spans="2:6" ht="24" customHeight="1">
      <c r="B1" s="37"/>
      <c r="D1" s="38" t="s">
        <v>20</v>
      </c>
      <c r="E1" s="39"/>
    </row>
    <row r="2" spans="2:6" ht="13.5" customHeight="1">
      <c r="B2" s="37"/>
      <c r="D2" s="40"/>
      <c r="E2" s="40"/>
    </row>
    <row r="3" spans="2:6" ht="12.75" customHeight="1">
      <c r="B3" s="136" t="s">
        <v>1</v>
      </c>
      <c r="C3" s="136"/>
      <c r="D3" s="137" t="s">
        <v>2</v>
      </c>
      <c r="E3" s="137"/>
      <c r="F3" s="137"/>
    </row>
    <row r="4" spans="2:6" ht="12.75" customHeight="1">
      <c r="B4" s="136" t="s">
        <v>5</v>
      </c>
      <c r="C4" s="136"/>
      <c r="D4" s="137" t="s">
        <v>6</v>
      </c>
      <c r="E4" s="137"/>
      <c r="F4" s="137"/>
    </row>
    <row r="5" spans="2:6" s="41" customFormat="1" ht="84.75" customHeight="1">
      <c r="B5" s="138" t="s">
        <v>21</v>
      </c>
      <c r="C5" s="138"/>
      <c r="D5" s="139" t="s">
        <v>22</v>
      </c>
      <c r="E5" s="139"/>
      <c r="F5" s="139"/>
    </row>
    <row r="6" spans="2:6" ht="12.75" customHeight="1">
      <c r="B6" s="42"/>
      <c r="C6" s="7"/>
      <c r="D6" s="7"/>
      <c r="E6" s="7"/>
      <c r="F6" s="7"/>
    </row>
    <row r="7" spans="2:6" s="43" customFormat="1" ht="12.75" customHeight="1">
      <c r="B7" s="44"/>
      <c r="C7" s="45"/>
      <c r="D7" s="45"/>
      <c r="E7" s="45"/>
      <c r="F7" s="45"/>
    </row>
    <row r="8" spans="2:6" s="46" customFormat="1" ht="21" customHeight="1">
      <c r="B8" s="47" t="s">
        <v>23</v>
      </c>
      <c r="C8" s="48" t="s">
        <v>24</v>
      </c>
      <c r="D8" s="48" t="s">
        <v>25</v>
      </c>
      <c r="E8" s="49" t="s">
        <v>26</v>
      </c>
      <c r="F8" s="50" t="s">
        <v>27</v>
      </c>
    </row>
    <row r="9" spans="2:6" ht="14.25" customHeight="1">
      <c r="B9" s="51">
        <v>1</v>
      </c>
      <c r="C9" s="52" t="s">
        <v>28</v>
      </c>
      <c r="D9" s="53" t="s">
        <v>29</v>
      </c>
      <c r="E9" s="134" t="s">
        <v>30</v>
      </c>
      <c r="F9" s="135" t="s">
        <v>31</v>
      </c>
    </row>
    <row r="10" spans="2:6" ht="13.5" customHeight="1">
      <c r="B10" s="54"/>
      <c r="C10" s="55"/>
      <c r="D10" s="56"/>
      <c r="E10" s="134"/>
      <c r="F10" s="135"/>
    </row>
    <row r="11" spans="2:6" ht="13.5" customHeight="1">
      <c r="B11" s="54"/>
      <c r="C11" s="55"/>
      <c r="D11" s="56"/>
      <c r="E11" s="134"/>
      <c r="F11" s="135"/>
    </row>
    <row r="12" spans="2:6" ht="13.5" customHeight="1">
      <c r="B12" s="54"/>
      <c r="C12" s="55"/>
      <c r="D12" s="56"/>
      <c r="E12" s="134"/>
      <c r="F12" s="135"/>
    </row>
    <row r="13" spans="2:6" ht="13.5" customHeight="1">
      <c r="B13" s="54"/>
      <c r="C13" s="55"/>
      <c r="D13" s="56"/>
      <c r="E13" s="57"/>
      <c r="F13" s="58"/>
    </row>
    <row r="14" spans="2:6" ht="12.75" customHeight="1">
      <c r="B14" s="54"/>
      <c r="C14" s="55"/>
      <c r="D14" s="59"/>
      <c r="E14" s="59"/>
      <c r="F14" s="58"/>
    </row>
    <row r="15" spans="2:6" ht="12.75" customHeight="1">
      <c r="B15" s="54"/>
      <c r="C15" s="55"/>
      <c r="D15" s="59"/>
      <c r="E15" s="59"/>
      <c r="F15" s="58"/>
    </row>
    <row r="16" spans="2:6" ht="12.75" customHeight="1">
      <c r="B16" s="7"/>
      <c r="C16" s="7"/>
      <c r="D16" s="7"/>
      <c r="E16" s="7"/>
      <c r="F16" s="7"/>
    </row>
    <row r="17" s="7" customFormat="1" ht="12.75" customHeight="1"/>
    <row r="18" s="7" customFormat="1" ht="12.75" customHeight="1"/>
    <row r="19" s="7" customFormat="1" ht="12.75" customHeight="1"/>
    <row r="20" s="7" customFormat="1" ht="12.75" customHeight="1"/>
    <row r="21" s="7" customFormat="1" ht="12.75" customHeight="1"/>
    <row r="22" s="7" customFormat="1" ht="12.75" customHeight="1"/>
  </sheetData>
  <mergeCells count="8">
    <mergeCell ref="E9:E12"/>
    <mergeCell ref="F9:F12"/>
    <mergeCell ref="B3:C3"/>
    <mergeCell ref="D3:F3"/>
    <mergeCell ref="B4:C4"/>
    <mergeCell ref="D4:F4"/>
    <mergeCell ref="B5:C5"/>
    <mergeCell ref="D5:F5"/>
  </mergeCells>
  <hyperlinks>
    <hyperlink ref="D9" location="UC29_Book_Ticket!A1" display="UC29_Booking_Workflow" xr:uid="{00000000-0004-0000-0100-000000000000}"/>
  </hyperlinks>
  <pageMargins left="0.74791666666666701" right="0.74791666666666701" top="0.98402777777777795" bottom="1.15069444444444" header="0.511811023622047" footer="0.98402777777777795"/>
  <pageSetup paperSize="9" orientation="landscape" horizontalDpi="300" verticalDpi="300"/>
  <headerFooter>
    <oddFooter>&amp;L&amp;"Tahoma,Regular"&amp;8 02ae-BM/PM/HDCV/FSOFT v2/0&amp;C&amp;"tahoma,Regular"&amp;8 Internal use&amp;R&amp;"tahoma,Regular"&amp;8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zoomScaleNormal="100" workbookViewId="0">
      <selection activeCell="G4" sqref="G4:H4"/>
    </sheetView>
  </sheetViews>
  <sheetFormatPr defaultColWidth="9" defaultRowHeight="13.2"/>
  <cols>
    <col min="1" max="1" width="4.44140625" style="7" customWidth="1"/>
    <col min="2" max="2" width="18.33203125" style="7" customWidth="1"/>
    <col min="3" max="3" width="19.33203125" style="7" customWidth="1"/>
    <col min="4" max="6" width="11.6640625" style="7" customWidth="1"/>
    <col min="7" max="7" width="9" style="7"/>
    <col min="8" max="8" width="55.77734375" style="7" customWidth="1"/>
    <col min="9" max="9" width="33.109375" style="7" customWidth="1"/>
    <col min="10" max="16384" width="9" style="7"/>
  </cols>
  <sheetData>
    <row r="1" spans="1:8" ht="25.5" customHeight="1">
      <c r="B1" s="143" t="s">
        <v>32</v>
      </c>
      <c r="C1" s="143"/>
      <c r="D1" s="143"/>
      <c r="E1" s="143"/>
      <c r="F1" s="143"/>
      <c r="G1" s="143"/>
      <c r="H1" s="143"/>
    </row>
    <row r="2" spans="1:8" ht="14.25" customHeight="1">
      <c r="A2" s="60"/>
      <c r="B2" s="60"/>
      <c r="H2" s="61"/>
    </row>
    <row r="3" spans="1:8" ht="12.75" customHeight="1">
      <c r="B3" s="62" t="s">
        <v>1</v>
      </c>
      <c r="C3" s="137" t="s">
        <v>2</v>
      </c>
      <c r="D3" s="137"/>
      <c r="E3" s="140" t="s">
        <v>3</v>
      </c>
      <c r="F3" s="140"/>
      <c r="G3" s="144" t="s">
        <v>4</v>
      </c>
      <c r="H3" s="144"/>
    </row>
    <row r="4" spans="1:8" ht="12.75" customHeight="1">
      <c r="B4" s="62" t="s">
        <v>5</v>
      </c>
      <c r="C4" s="137" t="s">
        <v>6</v>
      </c>
      <c r="D4" s="137"/>
      <c r="E4" s="140" t="s">
        <v>33</v>
      </c>
      <c r="F4" s="140"/>
      <c r="G4" s="144" t="s">
        <v>34</v>
      </c>
      <c r="H4" s="144"/>
    </row>
    <row r="5" spans="1:8" ht="12.75" customHeight="1">
      <c r="B5" s="63" t="s">
        <v>8</v>
      </c>
      <c r="C5" s="137" t="str">
        <f>C4&amp;"_"&amp;"ST"&amp;"_"&amp;"Report"&amp;"_"&amp;"v1.0"</f>
        <v>PentaPlex_ST_Report_v1.0</v>
      </c>
      <c r="D5" s="137"/>
      <c r="E5" s="140" t="s">
        <v>7</v>
      </c>
      <c r="F5" s="140"/>
      <c r="G5" s="141">
        <v>46207</v>
      </c>
      <c r="H5" s="141"/>
    </row>
    <row r="6" spans="1:8" ht="12.75" customHeight="1">
      <c r="A6" s="60"/>
      <c r="B6" s="63" t="s">
        <v>35</v>
      </c>
      <c r="C6" s="142" t="s">
        <v>36</v>
      </c>
      <c r="D6" s="142"/>
      <c r="E6" s="142"/>
      <c r="F6" s="142"/>
      <c r="G6" s="142"/>
      <c r="H6" s="142"/>
    </row>
    <row r="7" spans="1:8" ht="14.25" customHeight="1">
      <c r="A7" s="60"/>
      <c r="B7" s="64"/>
      <c r="C7" s="65"/>
      <c r="H7" s="61"/>
    </row>
    <row r="8" spans="1:8" ht="12.75" customHeight="1">
      <c r="B8" s="64"/>
      <c r="C8" s="65"/>
      <c r="H8" s="61"/>
    </row>
    <row r="10" spans="1:8" ht="12.75" customHeight="1">
      <c r="A10" s="66"/>
      <c r="B10" s="67" t="s">
        <v>23</v>
      </c>
      <c r="C10" s="68" t="s">
        <v>37</v>
      </c>
      <c r="D10" s="68" t="s">
        <v>38</v>
      </c>
      <c r="E10" s="68" t="s">
        <v>39</v>
      </c>
      <c r="F10" s="68" t="s">
        <v>40</v>
      </c>
      <c r="G10" s="69" t="s">
        <v>41</v>
      </c>
      <c r="H10" s="70" t="s">
        <v>42</v>
      </c>
    </row>
    <row r="11" spans="1:8" ht="26.25" customHeight="1">
      <c r="A11" s="66"/>
      <c r="B11" s="71">
        <v>1</v>
      </c>
      <c r="C11" s="72" t="s">
        <v>43</v>
      </c>
      <c r="D11" s="73">
        <f>UC29_Book_Ticket!B16</f>
        <v>0</v>
      </c>
      <c r="E11" s="73">
        <f>UC29_Book_Ticket!C16</f>
        <v>0</v>
      </c>
      <c r="F11" s="73">
        <f>UC29_Book_Ticket!D16</f>
        <v>4</v>
      </c>
      <c r="G11" s="73">
        <f>UC29_Book_Ticket!E16</f>
        <v>0</v>
      </c>
      <c r="H11" s="74">
        <f>UC29_Book_Ticket!B4</f>
        <v>4</v>
      </c>
    </row>
    <row r="12" spans="1:8" ht="12.75" customHeight="1">
      <c r="A12" s="66"/>
      <c r="B12" s="75"/>
      <c r="C12" s="76"/>
      <c r="D12" s="77"/>
      <c r="E12" s="77"/>
      <c r="F12" s="77"/>
      <c r="G12" s="77"/>
      <c r="H12" s="77"/>
    </row>
    <row r="13" spans="1:8" ht="12.75" customHeight="1">
      <c r="A13" s="66"/>
      <c r="B13" s="75"/>
      <c r="C13" s="76"/>
      <c r="D13" s="77"/>
      <c r="E13" s="77"/>
      <c r="F13" s="77"/>
      <c r="G13" s="78"/>
      <c r="H13" s="79"/>
    </row>
    <row r="14" spans="1:8">
      <c r="A14" s="66"/>
      <c r="B14" s="80"/>
      <c r="C14" s="81" t="s">
        <v>44</v>
      </c>
      <c r="D14" s="82">
        <f>SUM(D9:D13)</f>
        <v>0</v>
      </c>
      <c r="E14" s="82">
        <f>SUM(E9:E13)</f>
        <v>0</v>
      </c>
      <c r="F14" s="82">
        <f>SUM(F9:F13)</f>
        <v>4</v>
      </c>
      <c r="G14" s="82">
        <f>SUM(G9:G13)</f>
        <v>0</v>
      </c>
      <c r="H14" s="83">
        <f>SUM(H9:H13)</f>
        <v>4</v>
      </c>
    </row>
    <row r="15" spans="1:8" ht="12.75" customHeight="1">
      <c r="B15" s="84"/>
      <c r="D15" s="85"/>
      <c r="E15" s="86"/>
      <c r="F15" s="86"/>
      <c r="G15" s="86"/>
      <c r="H15" s="86"/>
    </row>
    <row r="16" spans="1:8" ht="12.75" customHeight="1">
      <c r="C16" s="87" t="s">
        <v>45</v>
      </c>
      <c r="E16" s="88">
        <f>(H14-G14)*100/H14</f>
        <v>100</v>
      </c>
      <c r="F16" s="89" t="s">
        <v>46</v>
      </c>
      <c r="H16" s="90"/>
    </row>
    <row r="17" spans="3:8" ht="12.75" customHeight="1">
      <c r="C17" s="87" t="s">
        <v>47</v>
      </c>
      <c r="E17" s="88">
        <f>D14*100/(H14-G14)</f>
        <v>0</v>
      </c>
      <c r="F17" s="89" t="s">
        <v>46</v>
      </c>
      <c r="H17" s="90"/>
    </row>
  </sheetData>
  <mergeCells count="11">
    <mergeCell ref="C5:D5"/>
    <mergeCell ref="E5:F5"/>
    <mergeCell ref="G5:H5"/>
    <mergeCell ref="C6:H6"/>
    <mergeCell ref="B1:H1"/>
    <mergeCell ref="C3:D3"/>
    <mergeCell ref="E3:F3"/>
    <mergeCell ref="G3:H3"/>
    <mergeCell ref="C4:D4"/>
    <mergeCell ref="E4:F4"/>
    <mergeCell ref="G4:H4"/>
  </mergeCells>
  <pageMargins left="0.74791666666666701" right="0.74791666666666701" top="0.98402777777777795" bottom="0.98402777777777795" header="0.511811023622047" footer="0.5"/>
  <pageSetup orientation="landscape" horizontalDpi="300" verticalDpi="300"/>
  <headerFooter>
    <oddFooter>&amp;L&amp;"Tahoma,Regular"&amp;8 02ae-BM/PM/HDCV/FSOFT v2/0&amp;C&amp;"tahoma,Regular"&amp;8 Internal use&amp;R&amp;"Tahoma,Regular"&amp;8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5"/>
  <sheetViews>
    <sheetView tabSelected="1" zoomScale="85" zoomScaleNormal="85" workbookViewId="0">
      <pane ySplit="10" topLeftCell="A14" activePane="bottomLeft" state="frozen"/>
      <selection pane="bottomLeft" activeCell="K11" sqref="K11"/>
    </sheetView>
  </sheetViews>
  <sheetFormatPr defaultColWidth="9" defaultRowHeight="13.2" outlineLevelRow="1" outlineLevelCol="1"/>
  <cols>
    <col min="1" max="1" width="30.77734375" style="7" customWidth="1"/>
    <col min="2" max="2" width="13.33203125" style="7" customWidth="1"/>
    <col min="3" max="3" width="34.109375" style="7" customWidth="1"/>
    <col min="4" max="4" width="34.6640625" style="7" customWidth="1"/>
    <col min="5" max="5" width="30.77734375" style="7" customWidth="1"/>
    <col min="6" max="6" width="7.44140625" style="7" customWidth="1"/>
    <col min="7" max="7" width="10.6640625" style="7" customWidth="1" outlineLevel="1"/>
    <col min="8" max="8" width="7" style="7" customWidth="1" outlineLevel="1"/>
    <col min="9" max="9" width="7.44140625" style="7" customWidth="1"/>
    <col min="10" max="10" width="10.6640625" style="7" customWidth="1" outlineLevel="1"/>
    <col min="11" max="11" width="7" style="7" customWidth="1" outlineLevel="1"/>
    <col min="12" max="12" width="7.44140625" style="7" customWidth="1"/>
    <col min="13" max="13" width="10.6640625" style="7" customWidth="1" outlineLevel="1"/>
    <col min="14" max="14" width="7" style="7" customWidth="1" outlineLevel="1"/>
    <col min="15" max="15" width="28.6640625" style="7" customWidth="1"/>
    <col min="16" max="16" width="10.109375" style="7" customWidth="1"/>
    <col min="17" max="17" width="8.109375" style="91" customWidth="1"/>
    <col min="18" max="18" width="7.6640625" style="7" hidden="1" customWidth="1"/>
    <col min="19" max="16384" width="9" style="7"/>
  </cols>
  <sheetData>
    <row r="1" spans="1:18" ht="13.5" customHeight="1"/>
    <row r="2" spans="1:18" s="96" customFormat="1" ht="15" customHeight="1">
      <c r="A2" s="92" t="s">
        <v>48</v>
      </c>
      <c r="B2" s="128" t="s">
        <v>49</v>
      </c>
      <c r="C2" s="128"/>
      <c r="D2" s="128"/>
      <c r="E2" s="128"/>
      <c r="F2" s="93"/>
      <c r="G2" s="94"/>
      <c r="H2" s="41"/>
      <c r="I2" s="93"/>
      <c r="J2" s="94"/>
      <c r="K2" s="41"/>
      <c r="L2" s="93"/>
      <c r="M2" s="94"/>
      <c r="N2" s="41"/>
      <c r="O2" s="41"/>
      <c r="P2" s="41"/>
      <c r="Q2" s="95"/>
    </row>
    <row r="3" spans="1:18" s="96" customFormat="1" ht="26.25" customHeight="1">
      <c r="A3" s="97" t="s">
        <v>50</v>
      </c>
      <c r="B3" s="129" t="s">
        <v>51</v>
      </c>
      <c r="C3" s="129"/>
      <c r="D3" s="129"/>
      <c r="E3" s="129"/>
      <c r="F3" s="93"/>
      <c r="G3" s="94"/>
      <c r="H3" s="41"/>
      <c r="I3" s="93"/>
      <c r="J3" s="94"/>
      <c r="K3" s="41"/>
      <c r="L3" s="93"/>
      <c r="M3" s="94"/>
      <c r="N3" s="41"/>
      <c r="O3" s="41"/>
      <c r="P3" s="41"/>
      <c r="Q3" s="95"/>
    </row>
    <row r="4" spans="1:18" s="96" customFormat="1" ht="18" customHeight="1">
      <c r="A4" s="97" t="s">
        <v>52</v>
      </c>
      <c r="B4" s="129">
        <f>COUNTA(A22:A1000)</f>
        <v>4</v>
      </c>
      <c r="C4" s="129"/>
      <c r="D4" s="129"/>
      <c r="E4" s="129"/>
      <c r="F4" s="93"/>
      <c r="G4" s="94"/>
      <c r="H4" s="41"/>
      <c r="I4" s="93"/>
      <c r="J4" s="94"/>
      <c r="K4" s="41"/>
      <c r="L4" s="93"/>
      <c r="M4" s="94"/>
      <c r="N4" s="41"/>
      <c r="O4" s="41"/>
      <c r="P4" s="41"/>
      <c r="Q4" s="95"/>
    </row>
    <row r="5" spans="1:18" s="96" customFormat="1" ht="19.5" customHeight="1">
      <c r="A5" s="130" t="s">
        <v>53</v>
      </c>
      <c r="B5" s="130"/>
      <c r="C5" s="130"/>
      <c r="D5" s="130"/>
      <c r="E5" s="130"/>
    </row>
    <row r="6" spans="1:18" s="96" customFormat="1" ht="30" customHeight="1">
      <c r="A6" s="126" t="s">
        <v>54</v>
      </c>
      <c r="B6" s="127" t="s">
        <v>55</v>
      </c>
      <c r="C6" s="127"/>
      <c r="D6" s="127"/>
      <c r="E6" s="127"/>
    </row>
    <row r="7" spans="1:18" s="96" customFormat="1" ht="30" customHeight="1">
      <c r="A7" s="126" t="s">
        <v>56</v>
      </c>
      <c r="B7" s="127" t="s">
        <v>57</v>
      </c>
      <c r="C7" s="127"/>
      <c r="D7" s="127"/>
      <c r="E7" s="127"/>
    </row>
    <row r="8" spans="1:18" s="96" customFormat="1" ht="30" customHeight="1">
      <c r="A8" s="126" t="s">
        <v>58</v>
      </c>
      <c r="B8" s="127" t="s">
        <v>59</v>
      </c>
      <c r="C8" s="127"/>
      <c r="D8" s="127"/>
      <c r="E8" s="127"/>
    </row>
    <row r="9" spans="1:18" s="96" customFormat="1" ht="45" customHeight="1">
      <c r="A9" s="126" t="s">
        <v>60</v>
      </c>
      <c r="B9" s="127" t="s">
        <v>61</v>
      </c>
      <c r="C9" s="127"/>
      <c r="D9" s="127"/>
      <c r="E9" s="127"/>
    </row>
    <row r="10" spans="1:18" s="96" customFormat="1" ht="105" customHeight="1">
      <c r="A10" s="126" t="s">
        <v>62</v>
      </c>
      <c r="B10" s="127" t="s">
        <v>63</v>
      </c>
      <c r="C10" s="127"/>
      <c r="D10" s="127"/>
      <c r="E10" s="127"/>
    </row>
    <row r="11" spans="1:18" s="96" customFormat="1" ht="30" customHeight="1">
      <c r="A11" s="126" t="s">
        <v>64</v>
      </c>
      <c r="B11" s="127" t="s">
        <v>65</v>
      </c>
      <c r="C11" s="127"/>
      <c r="D11" s="127"/>
      <c r="E11" s="127"/>
    </row>
    <row r="12" spans="1:18" s="99" customFormat="1" ht="30" customHeight="1" outlineLevel="1">
      <c r="A12" s="126" t="s">
        <v>66</v>
      </c>
      <c r="B12" s="127" t="s">
        <v>67</v>
      </c>
      <c r="C12" s="127"/>
      <c r="D12" s="127"/>
      <c r="E12" s="127"/>
    </row>
    <row r="13" spans="1:18" ht="30" customHeight="1" outlineLevel="1">
      <c r="A13" s="126" t="s">
        <v>68</v>
      </c>
      <c r="B13" s="127" t="s">
        <v>69</v>
      </c>
      <c r="C13" s="127"/>
      <c r="D13" s="127"/>
      <c r="E13" s="127"/>
    </row>
    <row r="14" spans="1:18" ht="87" customHeight="1" outlineLevel="1"/>
    <row r="15" spans="1:18" s="96" customFormat="1" ht="87" customHeight="1">
      <c r="A15" s="100" t="s">
        <v>70</v>
      </c>
      <c r="B15" s="101" t="s">
        <v>38</v>
      </c>
      <c r="C15" s="101" t="s">
        <v>39</v>
      </c>
      <c r="D15" s="101" t="s">
        <v>40</v>
      </c>
      <c r="E15" s="102" t="s">
        <v>41</v>
      </c>
      <c r="F15" s="103"/>
      <c r="G15" s="103"/>
      <c r="H15" s="104"/>
      <c r="I15" s="103"/>
      <c r="J15" s="103"/>
      <c r="K15" s="104"/>
      <c r="L15" s="103"/>
      <c r="M15" s="103"/>
      <c r="N15" s="104"/>
      <c r="O15" s="104"/>
      <c r="P15" s="104"/>
      <c r="Q15" s="105"/>
      <c r="R15" s="106" t="s">
        <v>38</v>
      </c>
    </row>
    <row r="16" spans="1:18" ht="12.75" customHeight="1" outlineLevel="1">
      <c r="A16" s="100" t="s">
        <v>71</v>
      </c>
      <c r="B16" s="107">
        <f>COUNTIF($F$22:$F$5000,B15)</f>
        <v>0</v>
      </c>
      <c r="C16" s="107">
        <f>COUNTIF($F$22:$F$5000,C15)</f>
        <v>0</v>
      </c>
      <c r="D16" s="107">
        <f>COUNTIF($F$22:$F$5000,D15)</f>
        <v>4</v>
      </c>
      <c r="E16" s="108">
        <f>COUNTIF($F$22:$F$5000,E15)</f>
        <v>0</v>
      </c>
      <c r="F16" s="109"/>
      <c r="G16" s="109"/>
      <c r="H16" s="104"/>
      <c r="I16" s="109"/>
      <c r="J16" s="109"/>
      <c r="K16" s="104"/>
      <c r="L16" s="109"/>
      <c r="M16" s="109"/>
      <c r="N16" s="104"/>
      <c r="O16" s="104"/>
      <c r="P16" s="104"/>
      <c r="Q16" s="105"/>
      <c r="R16" s="98" t="s">
        <v>39</v>
      </c>
    </row>
    <row r="17" spans="1:18" ht="12.75" customHeight="1" outlineLevel="1">
      <c r="A17" s="100" t="s">
        <v>72</v>
      </c>
      <c r="B17" s="107">
        <f>COUNTIF($I$22:$I$5000,B15)</f>
        <v>0</v>
      </c>
      <c r="C17" s="107">
        <f>COUNTIF($I$22:$I$5000,C15)</f>
        <v>0</v>
      </c>
      <c r="D17" s="107">
        <f>COUNTIF($I$22:$I$5000,D15)</f>
        <v>4</v>
      </c>
      <c r="E17" s="108">
        <f>COUNTIF($I$22:$I$5000,E15)</f>
        <v>0</v>
      </c>
      <c r="F17" s="109"/>
      <c r="G17" s="109"/>
      <c r="H17" s="104"/>
      <c r="I17" s="109"/>
      <c r="J17" s="109"/>
      <c r="K17" s="104"/>
      <c r="L17" s="109"/>
      <c r="M17" s="109"/>
      <c r="N17" s="104"/>
      <c r="O17" s="104"/>
      <c r="P17" s="104"/>
      <c r="Q17" s="105"/>
      <c r="R17" s="98" t="s">
        <v>40</v>
      </c>
    </row>
    <row r="18" spans="1:18" s="96" customFormat="1" ht="15.75" customHeight="1">
      <c r="A18" s="110" t="s">
        <v>73</v>
      </c>
      <c r="B18" s="111">
        <f>COUNTIF($L$22:$L$5000,B15)</f>
        <v>0</v>
      </c>
      <c r="C18" s="111">
        <f>COUNTIF($L$22:$L$5000,C15)</f>
        <v>0</v>
      </c>
      <c r="D18" s="111">
        <f>COUNTIF($L$22:$L$5000,D15)</f>
        <v>4</v>
      </c>
      <c r="E18" s="112">
        <f>COUNTIF($L$22:$L$5000,E15)</f>
        <v>0</v>
      </c>
      <c r="F18" s="109"/>
      <c r="G18" s="109"/>
      <c r="H18" s="104"/>
      <c r="I18" s="109"/>
      <c r="J18" s="109"/>
      <c r="K18" s="104"/>
      <c r="L18" s="109"/>
      <c r="M18" s="109"/>
      <c r="N18" s="104"/>
      <c r="O18" s="104"/>
      <c r="P18" s="104"/>
      <c r="Q18" s="105"/>
    </row>
    <row r="19" spans="1:18" ht="12.75" customHeight="1" outlineLevel="1">
      <c r="A19" s="104"/>
      <c r="B19" s="104"/>
      <c r="C19" s="104"/>
      <c r="D19" s="104"/>
      <c r="E19" s="104"/>
      <c r="F19" s="90"/>
      <c r="G19" s="104"/>
      <c r="H19" s="104"/>
      <c r="I19" s="90"/>
      <c r="J19" s="104"/>
      <c r="K19" s="104"/>
      <c r="L19" s="90"/>
      <c r="M19" s="104"/>
      <c r="N19" s="104"/>
      <c r="O19" s="104"/>
      <c r="P19" s="104"/>
      <c r="Q19" s="105"/>
    </row>
    <row r="20" spans="1:18" ht="26.4">
      <c r="A20" s="113" t="s">
        <v>74</v>
      </c>
      <c r="B20" s="113" t="s">
        <v>75</v>
      </c>
      <c r="C20" s="113" t="s">
        <v>76</v>
      </c>
      <c r="D20" s="113" t="s">
        <v>77</v>
      </c>
      <c r="E20" s="113" t="s">
        <v>78</v>
      </c>
      <c r="F20" s="113" t="s">
        <v>71</v>
      </c>
      <c r="G20" s="113" t="s">
        <v>79</v>
      </c>
      <c r="H20" s="113" t="s">
        <v>80</v>
      </c>
      <c r="I20" s="113" t="s">
        <v>72</v>
      </c>
      <c r="J20" s="113" t="s">
        <v>79</v>
      </c>
      <c r="K20" s="113" t="s">
        <v>80</v>
      </c>
      <c r="L20" s="113" t="s">
        <v>73</v>
      </c>
      <c r="M20" s="113" t="s">
        <v>79</v>
      </c>
      <c r="N20" s="113" t="s">
        <v>80</v>
      </c>
      <c r="O20" s="113" t="s">
        <v>81</v>
      </c>
      <c r="Q20" s="114"/>
    </row>
    <row r="21" spans="1:18">
      <c r="A21" s="115" t="s">
        <v>82</v>
      </c>
      <c r="B21" s="116"/>
      <c r="C21" s="117"/>
      <c r="D21" s="117"/>
      <c r="E21" s="117"/>
      <c r="F21" s="117"/>
      <c r="G21" s="117"/>
      <c r="H21" s="117"/>
      <c r="I21" s="117"/>
      <c r="J21" s="117"/>
      <c r="K21" s="117"/>
      <c r="L21" s="117"/>
      <c r="M21" s="117"/>
      <c r="N21" s="117"/>
      <c r="O21" s="118"/>
      <c r="Q21" s="119"/>
    </row>
    <row r="22" spans="1:18" ht="109.5" customHeight="1">
      <c r="A22" s="120" t="s">
        <v>83</v>
      </c>
      <c r="B22" s="121" t="s">
        <v>84</v>
      </c>
      <c r="C22" s="121" t="s">
        <v>85</v>
      </c>
      <c r="D22" s="122" t="s">
        <v>86</v>
      </c>
      <c r="E22" s="122" t="s">
        <v>87</v>
      </c>
      <c r="F22" s="120" t="s">
        <v>40</v>
      </c>
      <c r="G22" s="120"/>
      <c r="H22" s="120"/>
      <c r="I22" s="120" t="s">
        <v>40</v>
      </c>
      <c r="J22" s="120"/>
      <c r="K22" s="120"/>
      <c r="L22" s="120" t="s">
        <v>40</v>
      </c>
      <c r="M22" s="120"/>
      <c r="N22" s="120"/>
      <c r="O22" s="120" t="s">
        <v>88</v>
      </c>
      <c r="Q22" s="123"/>
    </row>
    <row r="23" spans="1:18" ht="109.5" customHeight="1">
      <c r="A23" s="120" t="s">
        <v>89</v>
      </c>
      <c r="B23" s="120" t="s">
        <v>90</v>
      </c>
      <c r="C23" s="120" t="s">
        <v>91</v>
      </c>
      <c r="D23" s="124" t="s">
        <v>92</v>
      </c>
      <c r="E23" s="125" t="s">
        <v>93</v>
      </c>
      <c r="F23" s="120" t="s">
        <v>40</v>
      </c>
      <c r="G23" s="120"/>
      <c r="H23" s="120"/>
      <c r="I23" s="120" t="s">
        <v>40</v>
      </c>
      <c r="J23" s="120"/>
      <c r="K23" s="120"/>
      <c r="L23" s="120" t="s">
        <v>40</v>
      </c>
      <c r="M23" s="120"/>
      <c r="N23" s="120"/>
      <c r="O23" s="120" t="s">
        <v>94</v>
      </c>
      <c r="Q23" s="123"/>
    </row>
    <row r="24" spans="1:18" ht="109.5" customHeight="1">
      <c r="A24" s="120" t="s">
        <v>95</v>
      </c>
      <c r="B24" s="120" t="s">
        <v>96</v>
      </c>
      <c r="C24" s="120" t="s">
        <v>97</v>
      </c>
      <c r="D24" s="120" t="s">
        <v>98</v>
      </c>
      <c r="E24" s="120" t="s">
        <v>99</v>
      </c>
      <c r="F24" s="120" t="s">
        <v>40</v>
      </c>
      <c r="G24" s="120"/>
      <c r="H24" s="120"/>
      <c r="I24" s="120" t="s">
        <v>40</v>
      </c>
      <c r="J24" s="120"/>
      <c r="K24" s="120"/>
      <c r="L24" s="120" t="s">
        <v>40</v>
      </c>
      <c r="M24" s="120"/>
      <c r="N24" s="120"/>
      <c r="O24" s="120" t="s">
        <v>100</v>
      </c>
      <c r="Q24" s="123"/>
    </row>
    <row r="25" spans="1:18" ht="109.5" customHeight="1">
      <c r="A25" s="120" t="s">
        <v>101</v>
      </c>
      <c r="B25" s="120" t="s">
        <v>102</v>
      </c>
      <c r="C25" s="120" t="s">
        <v>103</v>
      </c>
      <c r="D25" s="120" t="s">
        <v>104</v>
      </c>
      <c r="E25" s="120" t="s">
        <v>105</v>
      </c>
      <c r="F25" s="120" t="s">
        <v>40</v>
      </c>
      <c r="G25" s="120"/>
      <c r="H25" s="120"/>
      <c r="I25" s="120" t="s">
        <v>40</v>
      </c>
      <c r="J25" s="120"/>
      <c r="K25" s="120"/>
      <c r="L25" s="120" t="s">
        <v>40</v>
      </c>
      <c r="M25" s="120"/>
      <c r="N25" s="120"/>
      <c r="O25" s="120" t="s">
        <v>106</v>
      </c>
      <c r="Q25" s="123"/>
    </row>
  </sheetData>
  <mergeCells count="12">
    <mergeCell ref="B2:E2"/>
    <mergeCell ref="B3:E3"/>
    <mergeCell ref="B4:E4"/>
    <mergeCell ref="A5:E5"/>
    <mergeCell ref="B6:E6"/>
    <mergeCell ref="B12:E12"/>
    <mergeCell ref="B13:E13"/>
    <mergeCell ref="B7:E7"/>
    <mergeCell ref="B8:E8"/>
    <mergeCell ref="B9:E9"/>
    <mergeCell ref="B10:E10"/>
    <mergeCell ref="B11:E11"/>
  </mergeCells>
  <dataValidations count="2">
    <dataValidation type="list" allowBlank="1" showErrorMessage="1" sqref="G2:G3 J2:J3 M2:M3 G9 J9 M9 F12:F14 I12:I14 L12:L14 F17:F19 I17:I19 L17:L19 G20:G147 J20:J147 M20:M147" xr:uid="{00000000-0002-0000-0300-000000000000}">
      <formula1>$R$2:$R$5</formula1>
      <formula2>0</formula2>
    </dataValidation>
    <dataValidation allowBlank="1" showErrorMessage="1" sqref="F10 I10 L10" xr:uid="{00000000-0002-0000-0300-000001000000}">
      <formula1>0</formula1>
      <formula2>0</formula2>
    </dataValidation>
  </dataValidations>
  <pageMargins left="0.74791666666666701" right="0.25" top="0.75" bottom="0.98402777777777795" header="0.5" footer="0.5"/>
  <pageSetup paperSize="9" orientation="landscape" horizontalDpi="300" verticalDpi="300"/>
  <headerFooter>
    <oddHeader>&amp;LFacilitate_Test Case\Company&amp;Rv1.0</oddHeader>
    <oddFooter>&amp;L&amp;"Tahoma,Regular"&amp;8 02ae-BM/PM/HDCV/FSOFT v2/0&amp;C&amp;"Tahoma,Regular"&amp;10 Internal use&amp;R&amp;"Tahoma,Regular"&amp;8 &amp;P/&amp;N</oddFooter>
  </headerFooter>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Test Cases</vt:lpstr>
      <vt:lpstr>Test Statistics</vt:lpstr>
      <vt:lpstr>UC29_Book_Ticket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Kien Nguyen</dc:creator>
  <dc:description>Updates sheet Cover: Add logo, document code, creator, reviewer/approver._x005f_x000d_
Add sheet Test Case List._x005f_x000d_
Change Sheet Company, User, Provider to Modules. Add column Inter-test case dependent. Update these sheets._x005f_x000d_
Update Test Report</dc:description>
  <cp:lastModifiedBy>Terrorist .-.</cp:lastModifiedBy>
  <cp:revision>2</cp:revision>
  <cp:lastPrinted>2010-11-12T10:33:20Z</cp:lastPrinted>
  <dcterms:created xsi:type="dcterms:W3CDTF">2020-03-17T17:34:29Z</dcterms:created>
  <dcterms:modified xsi:type="dcterms:W3CDTF">2026-07-08T06:45:01Z</dcterms:modified>
  <cp:category>BM</cp:category>
  <dc:language>en-US</dc:language>
</cp:coreProperties>
</file>